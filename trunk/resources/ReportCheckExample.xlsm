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4915" windowHeight="14370" activeTab="1"/>
  </bookViews>
  <sheets>
    <sheet name="transActivityReport" sheetId="1" r:id="rId1"/>
    <sheet name="MTM_Detail" sheetId="2" r:id="rId2"/>
    <sheet name="RepFromTo_Check" sheetId="3" r:id="rId3"/>
    <sheet name="AccountCheck" sheetId="4" r:id="rId4"/>
    <sheet name="SecurityCheck" sheetId="5" r:id="rId5"/>
  </sheets>
  <functionGroups/>
  <definedNames>
    <definedName name="_xlnm._FilterDatabase" localSheetId="0" hidden="1">transActivityReport!$A$1:$AA$43</definedName>
  </definedNames>
  <calcPr calcId="125725" calcMode="manual"/>
</workbook>
</file>

<file path=xl/calcChain.xml><?xml version="1.0" encoding="utf-8"?>
<calcChain xmlns="http://schemas.openxmlformats.org/spreadsheetml/2006/main">
  <c r="G24" i="5"/>
  <c r="G25"/>
  <c r="G26"/>
  <c r="G23"/>
  <c r="H25"/>
  <c r="H26"/>
  <c r="H24"/>
  <c r="H23"/>
  <c r="D35" i="4"/>
  <c r="D36" s="1"/>
  <c r="H15"/>
  <c r="H16"/>
  <c r="H17"/>
  <c r="H18"/>
  <c r="H19"/>
  <c r="H20"/>
  <c r="H21"/>
  <c r="H22"/>
  <c r="H23"/>
  <c r="H24"/>
  <c r="H25"/>
  <c r="H26"/>
  <c r="H27"/>
  <c r="H28"/>
  <c r="H29"/>
  <c r="H14"/>
  <c r="I16"/>
  <c r="I17"/>
  <c r="I18"/>
  <c r="I19"/>
  <c r="I20"/>
  <c r="I21"/>
  <c r="I22"/>
  <c r="I23"/>
  <c r="I24"/>
  <c r="I25"/>
  <c r="I26"/>
  <c r="I27"/>
  <c r="I28"/>
  <c r="I15"/>
  <c r="I29"/>
  <c r="I14"/>
  <c r="D30" i="5"/>
  <c r="D31" s="1"/>
  <c r="B30"/>
  <c r="B35" i="4"/>
  <c r="B36" l="1"/>
  <c r="B31" i="5"/>
  <c r="G62" i="2"/>
  <c r="F27"/>
  <c r="F61"/>
  <c r="F60"/>
  <c r="F59"/>
  <c r="F31"/>
  <c r="Q49"/>
  <c r="R51"/>
  <c r="Q50"/>
  <c r="X49" s="1"/>
  <c r="L50"/>
  <c r="L51" s="1"/>
  <c r="Y52"/>
  <c r="M50"/>
  <c r="R49"/>
  <c r="G54"/>
  <c r="F52"/>
  <c r="X50" s="1"/>
  <c r="F51"/>
  <c r="F53" s="1"/>
  <c r="X51" s="1"/>
  <c r="G50"/>
  <c r="F50"/>
  <c r="G49"/>
  <c r="F49"/>
  <c r="F67"/>
  <c r="F65"/>
  <c r="F66"/>
  <c r="F33"/>
  <c r="F32"/>
  <c r="F26"/>
  <c r="G16"/>
  <c r="F25"/>
  <c r="Y18"/>
  <c r="R17"/>
  <c r="R15"/>
  <c r="M16"/>
  <c r="G20"/>
  <c r="G15"/>
  <c r="F17"/>
  <c r="F19" s="1"/>
  <c r="X17" s="1"/>
  <c r="L16"/>
  <c r="L17" s="1"/>
  <c r="Q16"/>
  <c r="X15" s="1"/>
  <c r="Q15"/>
  <c r="F18"/>
  <c r="F16"/>
  <c r="F15"/>
  <c r="AD54" i="1"/>
  <c r="F54" i="2" l="1"/>
  <c r="F62"/>
  <c r="F68"/>
  <c r="AH56" i="1"/>
  <c r="AC62" s="1"/>
  <c r="X52" i="2"/>
  <c r="Q51"/>
  <c r="F34"/>
  <c r="F28"/>
  <c r="F20"/>
  <c r="Q17"/>
  <c r="X16"/>
  <c r="X18" s="1"/>
  <c r="AD55" i="1"/>
  <c r="AC61" s="1"/>
  <c r="AD56" l="1"/>
  <c r="AH55"/>
  <c r="AC60"/>
  <c r="AC63" s="1"/>
</calcChain>
</file>

<file path=xl/comments1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provides an example of Mark-to-Market "T-account" entries for typical security transactions</t>
        </r>
      </text>
    </comment>
    <comment ref="F16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  <comment ref="A37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Can Transfer Equations for Long Transaction, excpt substitue "Short Basis" Column for "Long Basis" Column
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Note that here we are accounting for the payments of dividend as a change in basis on short position.  It might also be accounted for as an expense…it depends on the holding period for the security</t>
        </r>
      </text>
    </comment>
    <comment ref="F50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</commentList>
</comments>
</file>

<file path=xl/comments2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Output from Class "CheckRepFromTo"</t>
        </r>
      </text>
    </comment>
  </commentList>
</comments>
</file>

<file path=xl/comments3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demonstrates a check of the Total Return and Annualized Return for aggregated securitis in the StockBrokerage1 Account</t>
        </r>
      </text>
    </comment>
  </commentList>
</comments>
</file>

<file path=xl/sharedStrings.xml><?xml version="1.0" encoding="utf-8"?>
<sst xmlns="http://schemas.openxmlformats.org/spreadsheetml/2006/main" count="1665" uniqueCount="183">
  <si>
    <t xml:space="preserve">ParentAcct </t>
  </si>
  <si>
    <t xml:space="preserve">Security </t>
  </si>
  <si>
    <t xml:space="preserve">TxnNum </t>
  </si>
  <si>
    <t>Date</t>
  </si>
  <si>
    <t>TxnType</t>
  </si>
  <si>
    <t>Desc</t>
  </si>
  <si>
    <t>Buy</t>
  </si>
  <si>
    <t>Sell</t>
  </si>
  <si>
    <t>Short</t>
  </si>
  <si>
    <t>Cover</t>
  </si>
  <si>
    <t>Commison</t>
  </si>
  <si>
    <t>Income</t>
  </si>
  <si>
    <t>Expense</t>
  </si>
  <si>
    <t>transfer</t>
  </si>
  <si>
    <t>cashEffect</t>
  </si>
  <si>
    <t>secQuantity</t>
  </si>
  <si>
    <t>MktPrice</t>
  </si>
  <si>
    <t>Position</t>
  </si>
  <si>
    <t>LongBasis</t>
  </si>
  <si>
    <t>ShortBasis</t>
  </si>
  <si>
    <t>OpenValue</t>
  </si>
  <si>
    <t>CumUnrealGain</t>
  </si>
  <si>
    <t>PerUnrealGain</t>
  </si>
  <si>
    <t>PerRealGain</t>
  </si>
  <si>
    <t>PerInc_Exp</t>
  </si>
  <si>
    <t>PerTotalGain</t>
  </si>
  <si>
    <t>CumTotalGain</t>
  </si>
  <si>
    <t>StockBrokerage1</t>
  </si>
  <si>
    <t>BANK</t>
  </si>
  <si>
    <t>Transfer Cash To Stock Brokerage</t>
  </si>
  <si>
    <t>Account Opening Fee</t>
  </si>
  <si>
    <t>Account Interest</t>
  </si>
  <si>
    <t>account Interest</t>
  </si>
  <si>
    <t>Transfer Out to Checking</t>
  </si>
  <si>
    <t>Transfer Again out to checking</t>
  </si>
  <si>
    <t>StockBrokerage2</t>
  </si>
  <si>
    <t>Xfr from Checking</t>
  </si>
  <si>
    <t>Aeropostale</t>
  </si>
  <si>
    <t>BUY</t>
  </si>
  <si>
    <t>Buy ARO (Split Test)</t>
  </si>
  <si>
    <t>Buy ARO</t>
  </si>
  <si>
    <t>DIVIDEND</t>
  </si>
  <si>
    <t>Dividend ARO</t>
  </si>
  <si>
    <t>MISCEXP</t>
  </si>
  <si>
    <t>Tax Expense ARO</t>
  </si>
  <si>
    <t>SELL</t>
  </si>
  <si>
    <t>Sell ARO</t>
  </si>
  <si>
    <t>SELL_XFER</t>
  </si>
  <si>
    <t>Sell Xfer ARO</t>
  </si>
  <si>
    <t>Sell  ARO</t>
  </si>
  <si>
    <t>Citigroup</t>
  </si>
  <si>
    <t>SHORT</t>
  </si>
  <si>
    <t>short Citi</t>
  </si>
  <si>
    <t>Short Citi</t>
  </si>
  <si>
    <t>Payment of Divs on Short Citi</t>
  </si>
  <si>
    <t>COVER</t>
  </si>
  <si>
    <t>Cover Citigroup</t>
  </si>
  <si>
    <t>Dell</t>
  </si>
  <si>
    <t>Buy Dell</t>
  </si>
  <si>
    <t>DIVIDENDXFR</t>
  </si>
  <si>
    <t>Dividend Transfer Dell</t>
  </si>
  <si>
    <t>Vanguard S&amp;P 500 Fund</t>
  </si>
  <si>
    <t>Buy Vanguard</t>
  </si>
  <si>
    <t>DIVIDEND_REINVEST</t>
  </si>
  <si>
    <t>Dividend Reinvest Vanguard</t>
  </si>
  <si>
    <t>MISCINC</t>
  </si>
  <si>
    <t>LTCAP Vanguard</t>
  </si>
  <si>
    <t>Sell VFINX</t>
  </si>
  <si>
    <t>Yahoo</t>
  </si>
  <si>
    <t>BUY_XFER</t>
  </si>
  <si>
    <t>Buy Yahoo</t>
  </si>
  <si>
    <t>Return of Capital from Yahoo</t>
  </si>
  <si>
    <t>Financial Select Sector SPDR</t>
  </si>
  <si>
    <t>Buy XLF</t>
  </si>
  <si>
    <t>Sell XLF</t>
  </si>
  <si>
    <t>Long Basis</t>
  </si>
  <si>
    <t>Short Basis</t>
  </si>
  <si>
    <t>Period Realized Gain</t>
  </si>
  <si>
    <t>Cash</t>
  </si>
  <si>
    <t>Current Long Basis</t>
  </si>
  <si>
    <t>Prev Real Gain</t>
  </si>
  <si>
    <t>Plust Transfer from Unreal</t>
  </si>
  <si>
    <t>Plus Increment from Sale</t>
  </si>
  <si>
    <t>End Realized gain</t>
  </si>
  <si>
    <t>Previous Unreal Gain</t>
  </si>
  <si>
    <t>Transfer of Prev Unreal Gain to Cash</t>
  </si>
  <si>
    <t>Current Unrealized Gain</t>
  </si>
  <si>
    <t>Cumulative Unrealized Gains</t>
  </si>
  <si>
    <t>Cumulative Realized  Gains</t>
  </si>
  <si>
    <t>Previous Realized Gains</t>
  </si>
  <si>
    <t>Total Realized Gain</t>
  </si>
  <si>
    <t>Previous Long Basis</t>
  </si>
  <si>
    <t>Less Transfer to Cash</t>
  </si>
  <si>
    <t>Transfer from Unreal</t>
  </si>
  <si>
    <t>End Unrealized Gain</t>
  </si>
  <si>
    <t>Period Unrealized Gain (Current Position)</t>
  </si>
  <si>
    <t>Period Unrealized Gain (Sale Position)</t>
  </si>
  <si>
    <t>Transfer of Period Unrealized Gain to Cash</t>
  </si>
  <si>
    <t>Split Ratio</t>
  </si>
  <si>
    <t>*</t>
  </si>
  <si>
    <t>* Need to add this quantity back for buys/sells</t>
  </si>
  <si>
    <t>Gain of Previous Position</t>
  </si>
  <si>
    <t>Gain of Purchase Position</t>
  </si>
  <si>
    <t>End Unreal Gain</t>
  </si>
  <si>
    <t>Gain of Total Position</t>
  </si>
  <si>
    <t>Less Gain Associated with Purchase</t>
  </si>
  <si>
    <t>Transfer of Prev Unreal Gain (Sale Pos) to Cash</t>
  </si>
  <si>
    <t>Less Gain Associated with Sale</t>
  </si>
  <si>
    <t>Previous Short Basis</t>
  </si>
  <si>
    <t>Current Short Basis</t>
  </si>
  <si>
    <t>SHORT Transaction</t>
  </si>
  <si>
    <t>LONG Transaction</t>
  </si>
  <si>
    <t>Accounting for Transaction 4 (reduce long position)</t>
  </si>
  <si>
    <t>Accounting for Transaction 18 (add to long position)</t>
  </si>
  <si>
    <t>Alternative Formulation, Transaction 18 (add to long position)</t>
  </si>
  <si>
    <t>Accounting for Transaction 96 (reduce short position)</t>
  </si>
  <si>
    <t>Accounting for Transaction 16 (add to short position)</t>
  </si>
  <si>
    <t>Alternative Formulation, Transaction 16 (add to short position)</t>
  </si>
  <si>
    <t>Gain of Short Sale Position</t>
  </si>
  <si>
    <t>Adds to change in CumUnrealGain</t>
  </si>
  <si>
    <t>Report: From/To</t>
  </si>
  <si>
    <t xml:space="preserve">Account: </t>
  </si>
  <si>
    <t>Ticker:</t>
  </si>
  <si>
    <t>C</t>
  </si>
  <si>
    <t xml:space="preserve">AggType: </t>
  </si>
  <si>
    <t>SEC</t>
  </si>
  <si>
    <t xml:space="preserve">From: </t>
  </si>
  <si>
    <t xml:space="preserve">To: </t>
  </si>
  <si>
    <t xml:space="preserve">StartPos: </t>
  </si>
  <si>
    <t xml:space="preserve">StartPrice: </t>
  </si>
  <si>
    <t>StartValue:</t>
  </si>
  <si>
    <t xml:space="preserve">EndPos: </t>
  </si>
  <si>
    <t xml:space="preserve">EndPrice: </t>
  </si>
  <si>
    <t>EndValue:</t>
  </si>
  <si>
    <t xml:space="preserve">StartCash: </t>
  </si>
  <si>
    <t xml:space="preserve">EndCash: </t>
  </si>
  <si>
    <t>InitBal:</t>
  </si>
  <si>
    <t xml:space="preserve">Buy: </t>
  </si>
  <si>
    <t xml:space="preserve">Sell: </t>
  </si>
  <si>
    <t>Short:</t>
  </si>
  <si>
    <t>CoverShort:</t>
  </si>
  <si>
    <t xml:space="preserve">Income: </t>
  </si>
  <si>
    <t xml:space="preserve">Expense: </t>
  </si>
  <si>
    <t xml:space="preserve">LongBasis: </t>
  </si>
  <si>
    <t xml:space="preserve">ShortBasis: </t>
  </si>
  <si>
    <t xml:space="preserve">RealizedGain: </t>
  </si>
  <si>
    <t xml:space="preserve">UnrealizedGain: </t>
  </si>
  <si>
    <t>Maps</t>
  </si>
  <si>
    <t>arMap</t>
  </si>
  <si>
    <t>mdMap</t>
  </si>
  <si>
    <t>transMap</t>
  </si>
  <si>
    <t>Value</t>
  </si>
  <si>
    <t xml:space="preserve">mdReturn: </t>
  </si>
  <si>
    <t xml:space="preserve">AnnualReturn: </t>
  </si>
  <si>
    <t>DELL</t>
  </si>
  <si>
    <t>ARO</t>
  </si>
  <si>
    <t>VFINX</t>
  </si>
  <si>
    <t>YHOO</t>
  </si>
  <si>
    <t>~Null</t>
  </si>
  <si>
    <t>ACCT_SEC</t>
  </si>
  <si>
    <t>ACCT_CASH</t>
  </si>
  <si>
    <t>ACCT_SEC_PLUS_CASH</t>
  </si>
  <si>
    <t>XLF</t>
  </si>
  <si>
    <t>ALL</t>
  </si>
  <si>
    <t>NoTicker</t>
  </si>
  <si>
    <t>ALL_SEC</t>
  </si>
  <si>
    <t>ALL_CASH</t>
  </si>
  <si>
    <t>ALL_SEC_PLUS_CASH</t>
  </si>
  <si>
    <t>Check</t>
  </si>
  <si>
    <t>TotalGain:</t>
  </si>
  <si>
    <t>Difference</t>
  </si>
  <si>
    <t>arMap w/ Start And End Value added for XIRR Check</t>
  </si>
  <si>
    <t>My Finances</t>
  </si>
  <si>
    <t>StockBrokerage3</t>
  </si>
  <si>
    <t>Xfer from Checking</t>
  </si>
  <si>
    <t>StockBrokerage5</t>
  </si>
  <si>
    <t>StockBrokerage4</t>
  </si>
  <si>
    <t>Vanguard Total Bond Market Index Inv</t>
  </si>
  <si>
    <t>Buy VBMFX</t>
  </si>
  <si>
    <t>VBMFX</t>
  </si>
  <si>
    <t>NaN</t>
  </si>
  <si>
    <t>iShares MSCI EAFE Index</t>
  </si>
  <si>
    <t>EFA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</si>
</sst>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43" formatCode="_(* #,##0.00_);_(* \(#,##0.00\);_(* &quot;-&quot;??_);_(@_)"/>
    <numFmt numFmtId="164" formatCode="_(* #,##0.000_);_(* \(#,##0.000\);_(* &quot;-&quot;??_);_(@_)"/>
    <numFmt numFmtId="165" formatCode="0.000000%"/>
  </numFmts>
  <fonts count="13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1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2" applyNumberFormat="0" applyAlignment="0" applyProtection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 wrapText="1"/>
    </xf>
    <xf numFmtId="0" fontId="1" fillId="0" borderId="0" xfId="0" applyFont="1" applyFill="1" applyBorder="1" applyAlignment="1">
      <alignment horizontal="right" wrapText="1"/>
    </xf>
    <xf numFmtId="0" fontId="1" fillId="0" borderId="0" xfId="0" applyFont="1" applyAlignment="1">
      <alignment horizontal="center" wrapText="1"/>
    </xf>
    <xf numFmtId="43" fontId="1" fillId="0" borderId="0" xfId="0" applyNumberFormat="1" applyFont="1"/>
    <xf numFmtId="41" fontId="1" fillId="0" borderId="0" xfId="0" applyNumberFormat="1" applyFont="1"/>
    <xf numFmtId="43" fontId="0" fillId="0" borderId="0" xfId="0" applyNumberFormat="1"/>
    <xf numFmtId="0" fontId="2" fillId="2" borderId="0" xfId="1"/>
    <xf numFmtId="0" fontId="3" fillId="0" borderId="0" xfId="0" applyFont="1"/>
    <xf numFmtId="43" fontId="4" fillId="0" borderId="0" xfId="2" applyNumberFormat="1" applyFill="1" applyBorder="1"/>
    <xf numFmtId="0" fontId="5" fillId="0" borderId="0" xfId="0" applyFont="1"/>
    <xf numFmtId="43" fontId="2" fillId="2" borderId="0" xfId="1" applyNumberFormat="1"/>
    <xf numFmtId="164" fontId="0" fillId="0" borderId="0" xfId="0" applyNumberFormat="1"/>
    <xf numFmtId="0" fontId="8" fillId="4" borderId="0" xfId="3"/>
    <xf numFmtId="0" fontId="9" fillId="5" borderId="2" xfId="4"/>
    <xf numFmtId="0" fontId="4" fillId="0" borderId="0" xfId="2" applyFill="1" applyBorder="1"/>
    <xf numFmtId="14" fontId="4" fillId="0" borderId="0" xfId="2" applyNumberFormat="1" applyFill="1" applyBorder="1"/>
    <xf numFmtId="0" fontId="10" fillId="0" borderId="0" xfId="0" applyFont="1"/>
    <xf numFmtId="14" fontId="11" fillId="0" borderId="0" xfId="2" applyNumberFormat="1" applyFont="1" applyFill="1" applyBorder="1"/>
    <xf numFmtId="43" fontId="12" fillId="0" borderId="0" xfId="0" applyNumberFormat="1" applyFont="1"/>
    <xf numFmtId="165" fontId="0" fillId="0" borderId="0" xfId="0" applyNumberFormat="1"/>
    <xf numFmtId="165" fontId="9" fillId="5" borderId="2" xfId="4" applyNumberFormat="1"/>
    <xf numFmtId="11" fontId="0" fillId="0" borderId="0" xfId="0" applyNumberFormat="1"/>
  </cellXfs>
  <cellStyles count="5">
    <cellStyle name="Bad" xfId="1" builtinId="27"/>
    <cellStyle name="Check Cell" xfId="4" builtinId="23"/>
    <cellStyle name="Good" xfId="3" builtinId="26"/>
    <cellStyle name="Input" xfId="2" builtinId="20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75"/>
  <sheetViews>
    <sheetView zoomScale="85" zoomScaleNormal="85" workbookViewId="0">
      <selection activeCell="X26" sqref="X26"/>
    </sheetView>
  </sheetViews>
  <sheetFormatPr defaultRowHeight="15"/>
  <cols>
    <col min="3" max="3" width="10.28515625" bestFit="1" customWidth="1"/>
    <col min="4" max="4" width="10.7109375" bestFit="1" customWidth="1"/>
    <col min="5" max="5" width="32.140625" bestFit="1" customWidth="1"/>
    <col min="6" max="6" width="11.28515625" customWidth="1"/>
    <col min="7" max="7" width="12.28515625" bestFit="1" customWidth="1"/>
    <col min="8" max="8" width="11.5703125" bestFit="1" customWidth="1"/>
    <col min="9" max="9" width="9" bestFit="1" customWidth="1"/>
    <col min="10" max="10" width="9.7109375" customWidth="1"/>
    <col min="11" max="11" width="8.7109375" customWidth="1"/>
    <col min="12" max="12" width="9" customWidth="1"/>
    <col min="13" max="13" width="8.7109375" customWidth="1"/>
    <col min="14" max="14" width="11.5703125" customWidth="1"/>
    <col min="15" max="15" width="12.28515625" customWidth="1"/>
    <col min="16" max="16" width="9.7109375" customWidth="1"/>
    <col min="17" max="17" width="9" customWidth="1"/>
    <col min="18" max="18" width="9.7109375" customWidth="1"/>
    <col min="19" max="19" width="11.5703125" customWidth="1"/>
    <col min="20" max="20" width="9.7109375" customWidth="1"/>
    <col min="21" max="21" width="11.5703125" bestFit="1" customWidth="1"/>
    <col min="22" max="23" width="10.5703125" customWidth="1"/>
    <col min="24" max="24" width="11.28515625" customWidth="1"/>
    <col min="25" max="25" width="9" customWidth="1"/>
    <col min="26" max="26" width="11.28515625" customWidth="1"/>
    <col min="27" max="27" width="11.28515625" bestFit="1" customWidth="1"/>
    <col min="33" max="34" width="10.85546875" bestFit="1" customWidth="1"/>
    <col min="35" max="35" width="11.42578125" bestFit="1" customWidth="1"/>
    <col min="36" max="36" width="10.5703125" bestFit="1" customWidth="1"/>
    <col min="38" max="38" width="11.42578125" bestFit="1" customWidth="1"/>
    <col min="39" max="39" width="10.85546875" bestFit="1" customWidth="1"/>
  </cols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D1" s="2"/>
      <c r="AE1" s="2"/>
      <c r="AF1" s="2"/>
      <c r="AG1" s="2"/>
      <c r="AH1" s="2"/>
      <c r="AI1" s="3"/>
      <c r="AJ1" s="2"/>
      <c r="AK1" s="2"/>
      <c r="AL1" s="2"/>
      <c r="AM1" s="2"/>
      <c r="AN1" s="2"/>
      <c r="AO1" s="4"/>
      <c r="AP1" s="4"/>
      <c r="AQ1" s="4"/>
      <c r="AR1" s="4"/>
      <c r="AS1" s="4"/>
      <c r="AT1" s="4"/>
      <c r="AU1" s="4"/>
      <c r="AV1" s="4"/>
      <c r="AW1" s="4"/>
    </row>
    <row r="2" spans="1:49">
      <c r="A2" t="s">
        <v>172</v>
      </c>
      <c r="B2" t="s">
        <v>27</v>
      </c>
      <c r="C2">
        <v>59</v>
      </c>
      <c r="D2">
        <v>35828</v>
      </c>
      <c r="E2" t="s">
        <v>28</v>
      </c>
      <c r="F2" s="1" t="s">
        <v>29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15000</v>
      </c>
      <c r="O2" s="13">
        <v>15000</v>
      </c>
      <c r="P2" s="13">
        <v>0</v>
      </c>
      <c r="Q2" s="13">
        <v>1</v>
      </c>
      <c r="R2" s="13">
        <v>0</v>
      </c>
      <c r="S2" s="13">
        <v>0</v>
      </c>
      <c r="T2" s="13">
        <v>0</v>
      </c>
      <c r="U2" s="13">
        <v>0</v>
      </c>
      <c r="V2" s="13">
        <v>0</v>
      </c>
      <c r="W2" s="13">
        <v>0</v>
      </c>
      <c r="X2" s="13">
        <v>0</v>
      </c>
      <c r="Y2" s="13">
        <v>0</v>
      </c>
      <c r="Z2" s="13">
        <v>0</v>
      </c>
      <c r="AA2" s="13">
        <v>0</v>
      </c>
      <c r="AD2" s="5"/>
      <c r="AE2" s="5"/>
      <c r="AF2" s="5"/>
      <c r="AG2" s="5"/>
      <c r="AH2" s="5"/>
      <c r="AI2" s="5"/>
      <c r="AJ2" s="5"/>
      <c r="AK2" s="6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1:49">
      <c r="A3" t="s">
        <v>172</v>
      </c>
      <c r="B3" t="s">
        <v>27</v>
      </c>
      <c r="C3">
        <v>61</v>
      </c>
      <c r="D3">
        <v>35828</v>
      </c>
      <c r="E3" t="s">
        <v>28</v>
      </c>
      <c r="F3" s="1" t="s">
        <v>30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-55.21</v>
      </c>
      <c r="N3" s="13">
        <v>0</v>
      </c>
      <c r="O3" s="13">
        <v>-55.21</v>
      </c>
      <c r="P3" s="13">
        <v>0</v>
      </c>
      <c r="Q3" s="13">
        <v>1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0</v>
      </c>
      <c r="Y3" s="13">
        <v>-55.21</v>
      </c>
      <c r="Z3" s="13">
        <v>-55.21</v>
      </c>
      <c r="AA3" s="13">
        <v>-55.21</v>
      </c>
      <c r="AD3" s="5"/>
      <c r="AE3" s="5"/>
      <c r="AF3" s="5"/>
      <c r="AG3" s="5"/>
      <c r="AH3" s="5"/>
      <c r="AI3" s="5"/>
      <c r="AJ3" s="5"/>
      <c r="AK3" s="6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>
      <c r="A4" t="s">
        <v>172</v>
      </c>
      <c r="B4" t="s">
        <v>27</v>
      </c>
      <c r="C4">
        <v>63</v>
      </c>
      <c r="D4">
        <v>36160</v>
      </c>
      <c r="E4" t="s">
        <v>28</v>
      </c>
      <c r="F4" s="1" t="s">
        <v>31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12</v>
      </c>
      <c r="M4" s="13">
        <v>0</v>
      </c>
      <c r="N4" s="13">
        <v>0</v>
      </c>
      <c r="O4" s="13">
        <v>12</v>
      </c>
      <c r="P4" s="13">
        <v>0</v>
      </c>
      <c r="Q4" s="13">
        <v>1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12</v>
      </c>
      <c r="Z4" s="13">
        <v>12</v>
      </c>
      <c r="AA4" s="13">
        <v>-43.21</v>
      </c>
      <c r="AD4" s="5"/>
      <c r="AE4" s="5"/>
      <c r="AF4" s="5"/>
      <c r="AG4" s="5"/>
      <c r="AH4" s="5"/>
      <c r="AI4" s="5"/>
      <c r="AJ4" s="5"/>
      <c r="AK4" s="6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49">
      <c r="A5" t="s">
        <v>172</v>
      </c>
      <c r="B5" t="s">
        <v>27</v>
      </c>
      <c r="C5">
        <v>65</v>
      </c>
      <c r="D5">
        <v>36525</v>
      </c>
      <c r="E5" t="s">
        <v>28</v>
      </c>
      <c r="F5" s="1" t="s">
        <v>31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15</v>
      </c>
      <c r="M5" s="13">
        <v>0</v>
      </c>
      <c r="N5" s="13">
        <v>0</v>
      </c>
      <c r="O5" s="13">
        <v>15</v>
      </c>
      <c r="P5" s="13">
        <v>0</v>
      </c>
      <c r="Q5" s="13">
        <v>1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15</v>
      </c>
      <c r="Z5" s="13">
        <v>15</v>
      </c>
      <c r="AA5" s="13">
        <v>-28.21</v>
      </c>
      <c r="AD5" s="5"/>
      <c r="AE5" s="5"/>
      <c r="AF5" s="5"/>
      <c r="AG5" s="5"/>
      <c r="AH5" s="5"/>
      <c r="AI5" s="5"/>
      <c r="AJ5" s="5"/>
      <c r="AK5" s="6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>
      <c r="A6" t="s">
        <v>172</v>
      </c>
      <c r="B6" t="s">
        <v>27</v>
      </c>
      <c r="C6">
        <v>67</v>
      </c>
      <c r="D6">
        <v>36891</v>
      </c>
      <c r="E6" t="s">
        <v>28</v>
      </c>
      <c r="F6" s="1" t="s">
        <v>31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15</v>
      </c>
      <c r="M6" s="13">
        <v>0</v>
      </c>
      <c r="N6" s="13">
        <v>0</v>
      </c>
      <c r="O6" s="13">
        <v>15</v>
      </c>
      <c r="P6" s="13">
        <v>0</v>
      </c>
      <c r="Q6" s="13">
        <v>1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15</v>
      </c>
      <c r="Z6" s="13">
        <v>15</v>
      </c>
      <c r="AA6" s="13">
        <v>-13.21</v>
      </c>
      <c r="AD6" s="5"/>
      <c r="AE6" s="5"/>
      <c r="AF6" s="5"/>
      <c r="AG6" s="5"/>
      <c r="AH6" s="5"/>
      <c r="AI6" s="5"/>
      <c r="AJ6" s="5"/>
      <c r="AK6" s="6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>
      <c r="A7" t="s">
        <v>172</v>
      </c>
      <c r="B7" t="s">
        <v>27</v>
      </c>
      <c r="C7">
        <v>69</v>
      </c>
      <c r="D7">
        <v>37256</v>
      </c>
      <c r="E7" t="s">
        <v>28</v>
      </c>
      <c r="F7" s="1" t="s">
        <v>31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18</v>
      </c>
      <c r="M7" s="13">
        <v>0</v>
      </c>
      <c r="N7" s="13">
        <v>0</v>
      </c>
      <c r="O7" s="13">
        <v>18</v>
      </c>
      <c r="P7" s="13">
        <v>0</v>
      </c>
      <c r="Q7" s="13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18</v>
      </c>
      <c r="Z7" s="13">
        <v>18</v>
      </c>
      <c r="AA7" s="13">
        <v>4.7899999999999903</v>
      </c>
      <c r="AD7" s="5"/>
      <c r="AE7" s="5"/>
      <c r="AF7" s="5"/>
      <c r="AG7" s="5"/>
      <c r="AH7" s="5"/>
      <c r="AI7" s="5"/>
      <c r="AJ7" s="5"/>
      <c r="AK7" s="6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49">
      <c r="A8" t="s">
        <v>172</v>
      </c>
      <c r="B8" t="s">
        <v>27</v>
      </c>
      <c r="C8">
        <v>71</v>
      </c>
      <c r="D8">
        <v>37621</v>
      </c>
      <c r="E8" t="s">
        <v>28</v>
      </c>
      <c r="F8" s="1" t="s">
        <v>32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21</v>
      </c>
      <c r="M8" s="13">
        <v>0</v>
      </c>
      <c r="N8" s="13">
        <v>0</v>
      </c>
      <c r="O8" s="13">
        <v>21</v>
      </c>
      <c r="P8" s="13">
        <v>0</v>
      </c>
      <c r="Q8" s="13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0</v>
      </c>
      <c r="Y8" s="13">
        <v>21</v>
      </c>
      <c r="Z8" s="13">
        <v>21</v>
      </c>
      <c r="AA8" s="13">
        <v>25.79</v>
      </c>
      <c r="AD8" s="5"/>
      <c r="AE8" s="5"/>
      <c r="AF8" s="5"/>
      <c r="AG8" s="5"/>
      <c r="AH8" s="5"/>
      <c r="AI8" s="5"/>
      <c r="AJ8" s="5"/>
      <c r="AK8" s="6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</row>
    <row r="9" spans="1:49">
      <c r="A9" t="s">
        <v>172</v>
      </c>
      <c r="B9" t="s">
        <v>27</v>
      </c>
      <c r="C9">
        <v>73</v>
      </c>
      <c r="D9">
        <v>37986</v>
      </c>
      <c r="E9" t="s">
        <v>28</v>
      </c>
      <c r="F9" s="1" t="s">
        <v>32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12</v>
      </c>
      <c r="M9" s="13">
        <v>0</v>
      </c>
      <c r="N9" s="13">
        <v>0</v>
      </c>
      <c r="O9" s="13">
        <v>12</v>
      </c>
      <c r="P9" s="13">
        <v>0</v>
      </c>
      <c r="Q9" s="13">
        <v>1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12</v>
      </c>
      <c r="Z9" s="13">
        <v>12</v>
      </c>
      <c r="AA9" s="13">
        <v>37.79</v>
      </c>
      <c r="AD9" s="5"/>
      <c r="AE9" s="5"/>
      <c r="AF9" s="5"/>
      <c r="AG9" s="5"/>
      <c r="AH9" s="5"/>
      <c r="AI9" s="5"/>
      <c r="AJ9" s="5"/>
      <c r="AK9" s="6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</row>
    <row r="10" spans="1:49">
      <c r="A10" t="s">
        <v>172</v>
      </c>
      <c r="B10" t="s">
        <v>27</v>
      </c>
      <c r="C10">
        <v>75</v>
      </c>
      <c r="D10">
        <v>38352</v>
      </c>
      <c r="E10" t="s">
        <v>28</v>
      </c>
      <c r="F10" s="1" t="s">
        <v>31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21.18</v>
      </c>
      <c r="M10" s="13">
        <v>0</v>
      </c>
      <c r="N10" s="13">
        <v>0</v>
      </c>
      <c r="O10" s="13">
        <v>21.18</v>
      </c>
      <c r="P10" s="13">
        <v>0</v>
      </c>
      <c r="Q10" s="13">
        <v>1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21.18</v>
      </c>
      <c r="Z10" s="13">
        <v>21.18</v>
      </c>
      <c r="AA10" s="13">
        <v>58.97</v>
      </c>
      <c r="AD10" s="5"/>
      <c r="AE10" s="5"/>
      <c r="AF10" s="5"/>
      <c r="AG10" s="5"/>
      <c r="AH10" s="5"/>
      <c r="AI10" s="5"/>
      <c r="AJ10" s="5"/>
      <c r="AK10" s="6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</row>
    <row r="11" spans="1:49">
      <c r="A11" t="s">
        <v>172</v>
      </c>
      <c r="B11" t="s">
        <v>27</v>
      </c>
      <c r="C11">
        <v>77</v>
      </c>
      <c r="D11">
        <v>38717</v>
      </c>
      <c r="E11" t="s">
        <v>28</v>
      </c>
      <c r="F11" s="1" t="s">
        <v>31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32.159999999999997</v>
      </c>
      <c r="M11" s="13">
        <v>0</v>
      </c>
      <c r="N11" s="13">
        <v>0</v>
      </c>
      <c r="O11" s="13">
        <v>32.159999999999997</v>
      </c>
      <c r="P11" s="13">
        <v>0</v>
      </c>
      <c r="Q11" s="13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32.159999999999997</v>
      </c>
      <c r="Z11" s="13">
        <v>32.159999999999997</v>
      </c>
      <c r="AA11" s="13">
        <v>91.13</v>
      </c>
      <c r="AD11" s="5"/>
      <c r="AE11" s="5"/>
      <c r="AF11" s="5"/>
      <c r="AG11" s="5"/>
      <c r="AH11" s="5"/>
      <c r="AI11" s="5"/>
      <c r="AJ11" s="5"/>
      <c r="AK11" s="6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spans="1:49">
      <c r="A12" t="s">
        <v>172</v>
      </c>
      <c r="B12" t="s">
        <v>27</v>
      </c>
      <c r="C12">
        <v>79</v>
      </c>
      <c r="D12">
        <v>39082</v>
      </c>
      <c r="E12" t="s">
        <v>28</v>
      </c>
      <c r="F12" s="1" t="s">
        <v>31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31.15</v>
      </c>
      <c r="M12" s="13">
        <v>0</v>
      </c>
      <c r="N12" s="13">
        <v>0</v>
      </c>
      <c r="O12" s="13">
        <v>31.15</v>
      </c>
      <c r="P12" s="13">
        <v>0</v>
      </c>
      <c r="Q12" s="13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31.15</v>
      </c>
      <c r="Z12" s="13">
        <v>31.15</v>
      </c>
      <c r="AA12" s="13">
        <v>122.28</v>
      </c>
      <c r="AD12" s="5"/>
      <c r="AE12" s="5"/>
      <c r="AF12" s="5"/>
      <c r="AG12" s="5"/>
      <c r="AH12" s="5"/>
      <c r="AI12" s="5"/>
      <c r="AJ12" s="5"/>
      <c r="AK12" s="6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</row>
    <row r="13" spans="1:49">
      <c r="A13" t="s">
        <v>172</v>
      </c>
      <c r="B13" t="s">
        <v>27</v>
      </c>
      <c r="C13">
        <v>107</v>
      </c>
      <c r="D13">
        <v>39399</v>
      </c>
      <c r="E13" t="s">
        <v>28</v>
      </c>
      <c r="F13" s="1" t="s">
        <v>33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-721.24</v>
      </c>
      <c r="O13" s="13">
        <v>-721.24</v>
      </c>
      <c r="P13" s="13">
        <v>0</v>
      </c>
      <c r="Q13" s="13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122.28</v>
      </c>
      <c r="AD13" s="5"/>
      <c r="AE13" s="5"/>
      <c r="AF13" s="5"/>
      <c r="AG13" s="5"/>
      <c r="AH13" s="5"/>
      <c r="AI13" s="5"/>
      <c r="AJ13" s="5"/>
      <c r="AK13" s="6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</row>
    <row r="14" spans="1:49">
      <c r="A14" t="s">
        <v>172</v>
      </c>
      <c r="B14" t="s">
        <v>27</v>
      </c>
      <c r="C14">
        <v>110</v>
      </c>
      <c r="D14">
        <v>39407</v>
      </c>
      <c r="E14" t="s">
        <v>28</v>
      </c>
      <c r="F14" s="1" t="s">
        <v>34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-212.26</v>
      </c>
      <c r="O14" s="13">
        <v>-212.26</v>
      </c>
      <c r="P14" s="13">
        <v>0</v>
      </c>
      <c r="Q14" s="13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3">
        <v>122.28</v>
      </c>
      <c r="AD14" s="5"/>
      <c r="AE14" s="5"/>
      <c r="AF14" s="5"/>
      <c r="AG14" s="5"/>
      <c r="AH14" s="5"/>
      <c r="AI14" s="5"/>
      <c r="AJ14" s="5"/>
      <c r="AK14" s="6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</row>
    <row r="15" spans="1:49">
      <c r="A15" t="s">
        <v>172</v>
      </c>
      <c r="B15" t="s">
        <v>27</v>
      </c>
      <c r="C15">
        <v>81</v>
      </c>
      <c r="D15">
        <v>39447</v>
      </c>
      <c r="E15" t="s">
        <v>28</v>
      </c>
      <c r="F15" s="1" t="s">
        <v>31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21.89</v>
      </c>
      <c r="M15" s="13">
        <v>0</v>
      </c>
      <c r="N15" s="13">
        <v>0</v>
      </c>
      <c r="O15" s="13">
        <v>21.89</v>
      </c>
      <c r="P15" s="13">
        <v>0</v>
      </c>
      <c r="Q15" s="13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21.89</v>
      </c>
      <c r="Z15" s="13">
        <v>21.89</v>
      </c>
      <c r="AA15" s="13">
        <v>144.16999999999999</v>
      </c>
      <c r="AD15" s="5"/>
      <c r="AE15" s="5"/>
      <c r="AF15" s="5"/>
      <c r="AG15" s="5"/>
      <c r="AH15" s="5"/>
      <c r="AI15" s="5"/>
      <c r="AJ15" s="5"/>
      <c r="AK15" s="6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</row>
    <row r="16" spans="1:49">
      <c r="A16" t="s">
        <v>172</v>
      </c>
      <c r="B16" t="s">
        <v>27</v>
      </c>
      <c r="C16">
        <v>83</v>
      </c>
      <c r="D16">
        <v>39813</v>
      </c>
      <c r="E16" t="s">
        <v>28</v>
      </c>
      <c r="F16" s="1" t="s">
        <v>31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22.15</v>
      </c>
      <c r="M16" s="13">
        <v>0</v>
      </c>
      <c r="N16" s="13">
        <v>0</v>
      </c>
      <c r="O16" s="13">
        <v>22.15</v>
      </c>
      <c r="P16" s="13">
        <v>0</v>
      </c>
      <c r="Q16" s="13">
        <v>1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>
        <v>22.15</v>
      </c>
      <c r="Z16" s="13">
        <v>22.15</v>
      </c>
      <c r="AA16" s="13">
        <v>166.32</v>
      </c>
      <c r="AD16" s="5"/>
      <c r="AE16" s="5"/>
      <c r="AF16" s="5"/>
      <c r="AG16" s="5"/>
      <c r="AH16" s="5"/>
      <c r="AI16" s="5"/>
      <c r="AJ16" s="5"/>
      <c r="AK16" s="6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</row>
    <row r="17" spans="1:49">
      <c r="A17" t="s">
        <v>172</v>
      </c>
      <c r="B17" t="s">
        <v>27</v>
      </c>
      <c r="C17">
        <v>85</v>
      </c>
      <c r="D17">
        <v>39813</v>
      </c>
      <c r="E17" t="s">
        <v>28</v>
      </c>
      <c r="F17" s="1" t="s">
        <v>31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41.12</v>
      </c>
      <c r="M17" s="13">
        <v>0</v>
      </c>
      <c r="N17" s="13">
        <v>0</v>
      </c>
      <c r="O17" s="13">
        <v>41.12</v>
      </c>
      <c r="P17" s="13">
        <v>0</v>
      </c>
      <c r="Q17" s="13">
        <v>1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>
        <v>41.12</v>
      </c>
      <c r="Z17" s="13">
        <v>41.12</v>
      </c>
      <c r="AA17" s="13">
        <v>207.44</v>
      </c>
      <c r="AD17" s="5"/>
      <c r="AE17" s="5"/>
      <c r="AF17" s="5"/>
      <c r="AG17" s="5"/>
      <c r="AH17" s="5"/>
      <c r="AI17" s="5"/>
      <c r="AJ17" s="5"/>
      <c r="AK17" s="6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</row>
    <row r="18" spans="1:49">
      <c r="A18" t="s">
        <v>172</v>
      </c>
      <c r="B18" t="s">
        <v>27</v>
      </c>
      <c r="C18">
        <v>87</v>
      </c>
      <c r="D18">
        <v>40178</v>
      </c>
      <c r="E18" t="s">
        <v>28</v>
      </c>
      <c r="F18" s="1" t="s">
        <v>31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22.12</v>
      </c>
      <c r="M18" s="13">
        <v>0</v>
      </c>
      <c r="N18" s="13">
        <v>0</v>
      </c>
      <c r="O18" s="13">
        <v>22.12</v>
      </c>
      <c r="P18" s="13">
        <v>0</v>
      </c>
      <c r="Q18" s="13">
        <v>1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  <c r="Y18" s="13">
        <v>22.12</v>
      </c>
      <c r="Z18" s="13">
        <v>22.12</v>
      </c>
      <c r="AA18" s="13">
        <v>229.56</v>
      </c>
      <c r="AD18" s="5"/>
      <c r="AE18" s="5"/>
      <c r="AF18" s="5"/>
      <c r="AG18" s="5"/>
      <c r="AH18" s="5"/>
      <c r="AI18" s="5"/>
      <c r="AJ18" s="5"/>
      <c r="AK18" s="6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</row>
    <row r="19" spans="1:49">
      <c r="A19" t="s">
        <v>172</v>
      </c>
      <c r="B19" t="s">
        <v>35</v>
      </c>
      <c r="C19">
        <v>131</v>
      </c>
      <c r="D19">
        <v>40039</v>
      </c>
      <c r="E19" t="s">
        <v>28</v>
      </c>
      <c r="F19" s="1" t="s">
        <v>36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10000</v>
      </c>
      <c r="O19" s="13">
        <v>10000</v>
      </c>
      <c r="P19" s="13">
        <v>0</v>
      </c>
      <c r="Q19" s="13">
        <v>1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D19" s="5"/>
      <c r="AE19" s="5"/>
      <c r="AF19" s="5"/>
      <c r="AG19" s="5"/>
      <c r="AH19" s="5"/>
      <c r="AI19" s="5"/>
      <c r="AJ19" s="5"/>
      <c r="AK19" s="6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</row>
    <row r="20" spans="1:49">
      <c r="A20" t="s">
        <v>172</v>
      </c>
      <c r="B20" t="s">
        <v>173</v>
      </c>
      <c r="C20">
        <v>148</v>
      </c>
      <c r="D20">
        <v>40269</v>
      </c>
      <c r="E20" t="s">
        <v>28</v>
      </c>
      <c r="F20" s="1" t="s">
        <v>174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621.38</v>
      </c>
      <c r="O20" s="13">
        <v>621.38</v>
      </c>
      <c r="P20" s="13">
        <v>0</v>
      </c>
      <c r="Q20" s="13">
        <v>1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  <c r="AA20" s="13">
        <v>0</v>
      </c>
      <c r="AD20" s="5"/>
      <c r="AE20" s="5"/>
      <c r="AF20" s="5"/>
      <c r="AG20" s="5"/>
      <c r="AH20" s="5"/>
      <c r="AI20" s="5"/>
      <c r="AJ20" s="5"/>
      <c r="AK20" s="6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</row>
    <row r="21" spans="1:49">
      <c r="A21" t="s">
        <v>172</v>
      </c>
      <c r="B21" t="s">
        <v>175</v>
      </c>
      <c r="C21">
        <v>153</v>
      </c>
      <c r="D21">
        <v>40311</v>
      </c>
      <c r="E21" t="s">
        <v>28</v>
      </c>
      <c r="F21" s="1" t="s">
        <v>31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56.34</v>
      </c>
      <c r="M21" s="13">
        <v>0</v>
      </c>
      <c r="N21" s="13">
        <v>0</v>
      </c>
      <c r="O21" s="13">
        <v>56.34</v>
      </c>
      <c r="P21" s="13">
        <v>0</v>
      </c>
      <c r="Q21" s="13">
        <v>1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56.34</v>
      </c>
      <c r="Z21" s="13">
        <v>56.34</v>
      </c>
      <c r="AA21" s="13">
        <v>56.34</v>
      </c>
      <c r="AD21" s="5"/>
      <c r="AE21" s="5"/>
      <c r="AF21" s="5"/>
      <c r="AG21" s="5"/>
      <c r="AH21" s="5"/>
      <c r="AI21" s="5"/>
      <c r="AJ21" s="5"/>
      <c r="AK21" s="6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</row>
    <row r="22" spans="1:49">
      <c r="A22" t="s">
        <v>27</v>
      </c>
      <c r="B22" t="s">
        <v>37</v>
      </c>
      <c r="C22">
        <v>20</v>
      </c>
      <c r="D22">
        <v>40211</v>
      </c>
      <c r="E22" t="s">
        <v>38</v>
      </c>
      <c r="F22" s="1" t="s">
        <v>39</v>
      </c>
      <c r="G22" s="13">
        <v>-3780</v>
      </c>
      <c r="H22" s="13">
        <v>0</v>
      </c>
      <c r="I22" s="13">
        <v>0</v>
      </c>
      <c r="J22" s="13">
        <v>0</v>
      </c>
      <c r="K22" s="13">
        <v>-17</v>
      </c>
      <c r="L22" s="13">
        <v>0</v>
      </c>
      <c r="M22" s="13">
        <v>0</v>
      </c>
      <c r="N22" s="13">
        <v>0</v>
      </c>
      <c r="O22" s="13">
        <v>-3797</v>
      </c>
      <c r="P22" s="13">
        <v>112</v>
      </c>
      <c r="Q22" s="13">
        <v>35.339997278820199</v>
      </c>
      <c r="R22" s="13">
        <v>112</v>
      </c>
      <c r="S22" s="13">
        <v>3797</v>
      </c>
      <c r="T22" s="13">
        <v>0</v>
      </c>
      <c r="U22" s="13">
        <v>3958.0796952278602</v>
      </c>
      <c r="V22" s="13">
        <v>161.079695227863</v>
      </c>
      <c r="W22" s="13">
        <v>161.079695227863</v>
      </c>
      <c r="X22" s="13">
        <v>0</v>
      </c>
      <c r="Y22" s="13">
        <v>0</v>
      </c>
      <c r="Z22" s="13">
        <v>161.079695227863</v>
      </c>
      <c r="AA22" s="13">
        <v>161.079695227863</v>
      </c>
      <c r="AD22" s="5"/>
      <c r="AE22" s="5"/>
      <c r="AF22" s="5"/>
      <c r="AG22" s="5"/>
      <c r="AH22" s="5"/>
      <c r="AI22" s="5"/>
      <c r="AJ22" s="5"/>
      <c r="AK22" s="6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</row>
    <row r="23" spans="1:49">
      <c r="A23" t="s">
        <v>27</v>
      </c>
      <c r="B23" t="s">
        <v>37</v>
      </c>
      <c r="C23">
        <v>18</v>
      </c>
      <c r="D23">
        <v>40252</v>
      </c>
      <c r="E23" t="s">
        <v>38</v>
      </c>
      <c r="F23" s="1" t="s">
        <v>40</v>
      </c>
      <c r="G23" s="13">
        <v>-1710</v>
      </c>
      <c r="H23" s="13">
        <v>0</v>
      </c>
      <c r="I23" s="13">
        <v>0</v>
      </c>
      <c r="J23" s="13">
        <v>0</v>
      </c>
      <c r="K23" s="13">
        <v>-10</v>
      </c>
      <c r="L23" s="13">
        <v>0</v>
      </c>
      <c r="M23" s="13">
        <v>0</v>
      </c>
      <c r="N23" s="13">
        <v>0</v>
      </c>
      <c r="O23" s="13">
        <v>-1720</v>
      </c>
      <c r="P23" s="13">
        <v>60</v>
      </c>
      <c r="Q23" s="13">
        <v>28.330000308797</v>
      </c>
      <c r="R23" s="13">
        <v>228</v>
      </c>
      <c r="S23" s="13">
        <v>5517</v>
      </c>
      <c r="T23" s="13">
        <v>0</v>
      </c>
      <c r="U23" s="13">
        <v>6459.24007040571</v>
      </c>
      <c r="V23" s="13">
        <v>942.24007040571701</v>
      </c>
      <c r="W23" s="13">
        <v>781.16037517785298</v>
      </c>
      <c r="X23" s="13">
        <v>0</v>
      </c>
      <c r="Y23" s="13">
        <v>0</v>
      </c>
      <c r="Z23" s="13">
        <v>781.16037517785298</v>
      </c>
      <c r="AA23" s="13">
        <v>942.24007040571701</v>
      </c>
      <c r="AD23" s="5"/>
      <c r="AE23" s="5"/>
      <c r="AF23" s="5"/>
      <c r="AG23" s="5"/>
      <c r="AH23" s="5"/>
      <c r="AI23" s="5"/>
      <c r="AJ23" s="5"/>
      <c r="AK23" s="6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</row>
    <row r="24" spans="1:49">
      <c r="A24" t="s">
        <v>27</v>
      </c>
      <c r="B24" t="s">
        <v>37</v>
      </c>
      <c r="C24">
        <v>14</v>
      </c>
      <c r="D24">
        <v>40266</v>
      </c>
      <c r="E24" t="s">
        <v>41</v>
      </c>
      <c r="F24" s="1" t="s">
        <v>42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97.21</v>
      </c>
      <c r="M24" s="13">
        <v>0</v>
      </c>
      <c r="N24" s="13">
        <v>0</v>
      </c>
      <c r="O24" s="13">
        <v>97.21</v>
      </c>
      <c r="P24" s="13">
        <v>0</v>
      </c>
      <c r="Q24" s="13">
        <v>28.380001407647999</v>
      </c>
      <c r="R24" s="13">
        <v>228</v>
      </c>
      <c r="S24" s="13">
        <v>5517</v>
      </c>
      <c r="T24" s="13">
        <v>0</v>
      </c>
      <c r="U24" s="13">
        <v>6470.6403209437503</v>
      </c>
      <c r="V24" s="13">
        <v>953.64032094375898</v>
      </c>
      <c r="W24" s="13">
        <v>11.400250538042201</v>
      </c>
      <c r="X24" s="13">
        <v>0</v>
      </c>
      <c r="Y24" s="13">
        <v>97.21</v>
      </c>
      <c r="Z24" s="13">
        <v>108.610250538042</v>
      </c>
      <c r="AA24" s="13">
        <v>1050.8503209437499</v>
      </c>
      <c r="AD24" s="5"/>
      <c r="AE24" s="5"/>
      <c r="AF24" s="5"/>
      <c r="AG24" s="5"/>
      <c r="AH24" s="5"/>
      <c r="AI24" s="5"/>
      <c r="AJ24" s="5"/>
      <c r="AK24" s="6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>
      <c r="A25" t="s">
        <v>27</v>
      </c>
      <c r="B25" t="s">
        <v>37</v>
      </c>
      <c r="C25">
        <v>6</v>
      </c>
      <c r="D25">
        <v>40276</v>
      </c>
      <c r="E25" t="s">
        <v>43</v>
      </c>
      <c r="F25" s="1" t="s">
        <v>44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-3.76</v>
      </c>
      <c r="N25" s="13">
        <v>0</v>
      </c>
      <c r="O25" s="13">
        <v>-3.76</v>
      </c>
      <c r="P25" s="13">
        <v>0</v>
      </c>
      <c r="Q25" s="13">
        <v>30.120001096368</v>
      </c>
      <c r="R25" s="13">
        <v>228</v>
      </c>
      <c r="S25" s="13">
        <v>5517</v>
      </c>
      <c r="T25" s="13">
        <v>0</v>
      </c>
      <c r="U25" s="13">
        <v>6867.36024997191</v>
      </c>
      <c r="V25" s="13">
        <v>1350.36024997191</v>
      </c>
      <c r="W25" s="13">
        <v>396.71992902815299</v>
      </c>
      <c r="X25" s="13">
        <v>0</v>
      </c>
      <c r="Y25" s="13">
        <v>-3.76</v>
      </c>
      <c r="Z25" s="13">
        <v>392.959929028153</v>
      </c>
      <c r="AA25" s="13">
        <v>1443.81024997191</v>
      </c>
      <c r="AD25" s="5"/>
      <c r="AE25" s="5"/>
      <c r="AF25" s="5"/>
      <c r="AG25" s="5"/>
      <c r="AH25" s="5"/>
      <c r="AI25" s="5"/>
      <c r="AJ25" s="5"/>
      <c r="AK25" s="6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</row>
    <row r="26" spans="1:49">
      <c r="A26" t="s">
        <v>27</v>
      </c>
      <c r="B26" t="s">
        <v>37</v>
      </c>
      <c r="C26">
        <v>4</v>
      </c>
      <c r="D26">
        <v>40283</v>
      </c>
      <c r="E26" t="s">
        <v>45</v>
      </c>
      <c r="F26" s="1" t="s">
        <v>46</v>
      </c>
      <c r="G26" s="13">
        <v>0</v>
      </c>
      <c r="H26" s="13">
        <v>936</v>
      </c>
      <c r="I26" s="13">
        <v>0</v>
      </c>
      <c r="J26" s="13">
        <v>0</v>
      </c>
      <c r="K26" s="13">
        <v>-9</v>
      </c>
      <c r="L26" s="13">
        <v>0</v>
      </c>
      <c r="M26" s="13">
        <v>0</v>
      </c>
      <c r="N26" s="13">
        <v>0</v>
      </c>
      <c r="O26" s="13">
        <v>927</v>
      </c>
      <c r="P26" s="13">
        <v>-30</v>
      </c>
      <c r="Q26" s="13">
        <v>31.069997908989102</v>
      </c>
      <c r="R26" s="13">
        <v>198</v>
      </c>
      <c r="S26" s="13">
        <v>4791.0789473684199</v>
      </c>
      <c r="T26" s="13">
        <v>0</v>
      </c>
      <c r="U26" s="13">
        <v>6151.8595859798497</v>
      </c>
      <c r="V26" s="13">
        <v>1360.78063861142</v>
      </c>
      <c r="W26" s="13">
        <v>188.09936889897801</v>
      </c>
      <c r="X26" s="13">
        <v>201.07894736842101</v>
      </c>
      <c r="Y26" s="13">
        <v>0</v>
      </c>
      <c r="Z26" s="13">
        <v>389.178316267399</v>
      </c>
      <c r="AA26" s="13">
        <v>1655.30958597984</v>
      </c>
      <c r="AD26" s="5"/>
      <c r="AE26" s="5"/>
      <c r="AF26" s="5"/>
      <c r="AG26" s="5"/>
      <c r="AH26" s="5"/>
      <c r="AI26" s="5"/>
      <c r="AJ26" s="5"/>
      <c r="AK26" s="6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</row>
    <row r="27" spans="1:49">
      <c r="A27" t="s">
        <v>27</v>
      </c>
      <c r="B27" t="s">
        <v>37</v>
      </c>
      <c r="C27">
        <v>115</v>
      </c>
      <c r="D27">
        <v>40296</v>
      </c>
      <c r="E27" t="s">
        <v>47</v>
      </c>
      <c r="F27" s="1" t="s">
        <v>48</v>
      </c>
      <c r="G27" s="13">
        <v>0</v>
      </c>
      <c r="H27" s="13">
        <v>332.28</v>
      </c>
      <c r="I27" s="13">
        <v>0</v>
      </c>
      <c r="J27" s="13">
        <v>0</v>
      </c>
      <c r="K27" s="13">
        <v>-3</v>
      </c>
      <c r="L27" s="13">
        <v>0</v>
      </c>
      <c r="M27" s="13">
        <v>0</v>
      </c>
      <c r="N27" s="13">
        <v>-329.28</v>
      </c>
      <c r="O27" s="13">
        <v>0</v>
      </c>
      <c r="P27" s="13">
        <v>-12</v>
      </c>
      <c r="Q27" s="13">
        <v>30.6200030068842</v>
      </c>
      <c r="R27" s="13">
        <v>186</v>
      </c>
      <c r="S27" s="13">
        <v>4500.71052631579</v>
      </c>
      <c r="T27" s="13">
        <v>0</v>
      </c>
      <c r="U27" s="13">
        <v>5695.3205592804698</v>
      </c>
      <c r="V27" s="13">
        <v>1194.6100329646799</v>
      </c>
      <c r="W27" s="13">
        <v>-83.699051791501702</v>
      </c>
      <c r="X27" s="13">
        <v>38.911578947368298</v>
      </c>
      <c r="Y27" s="13">
        <v>0</v>
      </c>
      <c r="Z27" s="13">
        <v>-44.787472844133397</v>
      </c>
      <c r="AA27" s="13">
        <v>1528.05055928047</v>
      </c>
      <c r="AD27" s="5"/>
      <c r="AE27" s="5"/>
      <c r="AF27" s="5"/>
      <c r="AG27" s="5"/>
      <c r="AH27" s="5"/>
      <c r="AI27" s="5"/>
      <c r="AJ27" s="5"/>
      <c r="AK27" s="6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</row>
    <row r="28" spans="1:49">
      <c r="A28" t="s">
        <v>27</v>
      </c>
      <c r="B28" t="s">
        <v>37</v>
      </c>
      <c r="C28">
        <v>126</v>
      </c>
      <c r="D28">
        <v>40312</v>
      </c>
      <c r="E28" t="s">
        <v>45</v>
      </c>
      <c r="F28" s="1" t="s">
        <v>49</v>
      </c>
      <c r="G28" s="13">
        <v>0</v>
      </c>
      <c r="H28" s="13">
        <v>2457.06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2457.06</v>
      </c>
      <c r="P28" s="13">
        <v>-186</v>
      </c>
      <c r="Q28" s="13">
        <v>27.48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-2043.6505263157901</v>
      </c>
      <c r="Y28" s="13">
        <v>0</v>
      </c>
      <c r="Z28" s="13">
        <v>-2043.6505263157901</v>
      </c>
      <c r="AA28" s="13">
        <v>-1710.21</v>
      </c>
      <c r="AD28" s="5"/>
      <c r="AE28" s="5"/>
      <c r="AF28" s="5"/>
      <c r="AG28" s="5"/>
      <c r="AH28" s="5"/>
      <c r="AI28" s="5"/>
      <c r="AJ28" s="5"/>
      <c r="AK28" s="6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</row>
    <row r="29" spans="1:49">
      <c r="A29" t="s">
        <v>27</v>
      </c>
      <c r="B29" t="s">
        <v>50</v>
      </c>
      <c r="C29">
        <v>89</v>
      </c>
      <c r="D29">
        <v>40219</v>
      </c>
      <c r="E29" t="s">
        <v>51</v>
      </c>
      <c r="F29" s="1" t="s">
        <v>52</v>
      </c>
      <c r="G29" s="13">
        <v>0</v>
      </c>
      <c r="H29" s="13">
        <v>0</v>
      </c>
      <c r="I29" s="13">
        <v>162.18</v>
      </c>
      <c r="J29" s="13">
        <v>0</v>
      </c>
      <c r="K29" s="13">
        <v>-11</v>
      </c>
      <c r="L29" s="13">
        <v>0</v>
      </c>
      <c r="M29" s="13">
        <v>0</v>
      </c>
      <c r="N29" s="13">
        <v>0</v>
      </c>
      <c r="O29" s="13">
        <v>151.18</v>
      </c>
      <c r="P29" s="13">
        <v>-51</v>
      </c>
      <c r="Q29" s="13">
        <v>3.2</v>
      </c>
      <c r="R29" s="13">
        <v>-51</v>
      </c>
      <c r="S29" s="13">
        <v>0</v>
      </c>
      <c r="T29" s="13">
        <v>-151.18</v>
      </c>
      <c r="U29" s="13">
        <v>-163.19999999999999</v>
      </c>
      <c r="V29" s="13">
        <v>-12.02</v>
      </c>
      <c r="W29" s="13">
        <v>-12.02</v>
      </c>
      <c r="X29" s="13">
        <v>0</v>
      </c>
      <c r="Y29" s="13">
        <v>0</v>
      </c>
      <c r="Z29" s="13">
        <v>-12.02</v>
      </c>
      <c r="AA29" s="13">
        <v>-12.02</v>
      </c>
      <c r="AD29" s="5"/>
      <c r="AE29" s="5"/>
      <c r="AF29" s="5"/>
      <c r="AG29" s="5"/>
      <c r="AH29" s="5"/>
      <c r="AI29" s="5"/>
      <c r="AJ29" s="5"/>
      <c r="AK29" s="6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</row>
    <row r="30" spans="1:49">
      <c r="A30" t="s">
        <v>27</v>
      </c>
      <c r="B30" t="s">
        <v>50</v>
      </c>
      <c r="C30">
        <v>16</v>
      </c>
      <c r="D30">
        <v>40252</v>
      </c>
      <c r="E30" t="s">
        <v>51</v>
      </c>
      <c r="F30" s="1" t="s">
        <v>53</v>
      </c>
      <c r="G30" s="13">
        <v>0</v>
      </c>
      <c r="H30" s="13">
        <v>0</v>
      </c>
      <c r="I30" s="13">
        <v>304.2</v>
      </c>
      <c r="J30" s="13">
        <v>0</v>
      </c>
      <c r="K30" s="13">
        <v>-19</v>
      </c>
      <c r="L30" s="13">
        <v>0</v>
      </c>
      <c r="M30" s="13">
        <v>0</v>
      </c>
      <c r="N30" s="13">
        <v>0</v>
      </c>
      <c r="O30" s="13">
        <v>285.2</v>
      </c>
      <c r="P30" s="13">
        <v>-78</v>
      </c>
      <c r="Q30" s="13">
        <v>3.8899999809389998</v>
      </c>
      <c r="R30" s="13">
        <v>-129</v>
      </c>
      <c r="S30" s="13">
        <v>0</v>
      </c>
      <c r="T30" s="13">
        <v>-436.38</v>
      </c>
      <c r="U30" s="13">
        <v>-501.809997541131</v>
      </c>
      <c r="V30" s="13">
        <v>-65.429997541131002</v>
      </c>
      <c r="W30" s="13">
        <v>-53.409997541130998</v>
      </c>
      <c r="X30" s="13">
        <v>0</v>
      </c>
      <c r="Y30" s="13">
        <v>0</v>
      </c>
      <c r="Z30" s="13">
        <v>-53.409997541130998</v>
      </c>
      <c r="AA30" s="13">
        <v>-65.429997541131002</v>
      </c>
      <c r="AD30" s="5"/>
      <c r="AE30" s="5"/>
      <c r="AF30" s="5"/>
      <c r="AG30" s="5"/>
      <c r="AH30" s="5"/>
      <c r="AI30" s="5"/>
      <c r="AJ30" s="5"/>
      <c r="AK30" s="6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</row>
    <row r="31" spans="1:49">
      <c r="A31" t="s">
        <v>27</v>
      </c>
      <c r="B31" t="s">
        <v>50</v>
      </c>
      <c r="C31">
        <v>92</v>
      </c>
      <c r="D31">
        <v>40268</v>
      </c>
      <c r="E31" t="s">
        <v>43</v>
      </c>
      <c r="F31" s="1" t="s">
        <v>54</v>
      </c>
      <c r="G31" s="13">
        <v>0</v>
      </c>
      <c r="H31" s="13">
        <v>0</v>
      </c>
      <c r="I31" s="13">
        <v>-12.27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-12.27</v>
      </c>
      <c r="P31" s="13">
        <v>0</v>
      </c>
      <c r="Q31" s="13">
        <v>4.0500000040500002</v>
      </c>
      <c r="R31" s="13">
        <v>-129</v>
      </c>
      <c r="S31" s="13">
        <v>0</v>
      </c>
      <c r="T31" s="13">
        <v>-424.11</v>
      </c>
      <c r="U31" s="13">
        <v>-522.45000052244995</v>
      </c>
      <c r="V31" s="13">
        <v>-98.340000522449998</v>
      </c>
      <c r="W31" s="13">
        <v>-32.910002981318897</v>
      </c>
      <c r="X31" s="13">
        <v>0</v>
      </c>
      <c r="Y31" s="13">
        <v>0</v>
      </c>
      <c r="Z31" s="13">
        <v>-32.910002981318897</v>
      </c>
      <c r="AA31" s="13">
        <v>-98.340000522449998</v>
      </c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</row>
    <row r="32" spans="1:49">
      <c r="A32" t="s">
        <v>27</v>
      </c>
      <c r="B32" t="s">
        <v>50</v>
      </c>
      <c r="C32">
        <v>96</v>
      </c>
      <c r="D32">
        <v>40296</v>
      </c>
      <c r="E32" t="s">
        <v>55</v>
      </c>
      <c r="F32" s="1" t="s">
        <v>56</v>
      </c>
      <c r="G32" s="13">
        <v>0</v>
      </c>
      <c r="H32" s="13">
        <v>0</v>
      </c>
      <c r="I32" s="13">
        <v>0</v>
      </c>
      <c r="J32" s="13">
        <v>-156.31</v>
      </c>
      <c r="K32" s="13">
        <v>-9</v>
      </c>
      <c r="L32" s="13">
        <v>0</v>
      </c>
      <c r="M32" s="13">
        <v>0</v>
      </c>
      <c r="N32" s="13">
        <v>0</v>
      </c>
      <c r="O32" s="13">
        <v>-165.31</v>
      </c>
      <c r="P32" s="13">
        <v>36</v>
      </c>
      <c r="Q32" s="13">
        <v>4.4500000222500002</v>
      </c>
      <c r="R32" s="13">
        <v>-93</v>
      </c>
      <c r="S32" s="13">
        <v>0</v>
      </c>
      <c r="T32" s="13">
        <v>-305.75372093023202</v>
      </c>
      <c r="U32" s="13">
        <v>-413.85000206925002</v>
      </c>
      <c r="V32" s="13">
        <v>-108.09628113901699</v>
      </c>
      <c r="W32" s="13">
        <v>-37.200001692599997</v>
      </c>
      <c r="X32" s="13">
        <v>-46.9537209302325</v>
      </c>
      <c r="Y32" s="13">
        <v>0</v>
      </c>
      <c r="Z32" s="13">
        <v>-84.153722622832504</v>
      </c>
      <c r="AA32" s="13">
        <v>-155.05000206925001</v>
      </c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</row>
    <row r="33" spans="1:49">
      <c r="A33" t="s">
        <v>27</v>
      </c>
      <c r="B33" t="s">
        <v>57</v>
      </c>
      <c r="C33">
        <v>56</v>
      </c>
      <c r="D33">
        <v>35830</v>
      </c>
      <c r="E33" t="s">
        <v>38</v>
      </c>
      <c r="F33" s="1" t="s">
        <v>58</v>
      </c>
      <c r="G33" s="13">
        <v>-10330</v>
      </c>
      <c r="H33" s="13">
        <v>0</v>
      </c>
      <c r="I33" s="13">
        <v>0</v>
      </c>
      <c r="J33" s="13">
        <v>0</v>
      </c>
      <c r="K33" s="13">
        <v>-10</v>
      </c>
      <c r="L33" s="13">
        <v>0</v>
      </c>
      <c r="M33" s="13">
        <v>0</v>
      </c>
      <c r="N33" s="13">
        <v>0</v>
      </c>
      <c r="O33" s="13">
        <v>-10340</v>
      </c>
      <c r="P33" s="13">
        <v>100</v>
      </c>
      <c r="Q33" s="13">
        <v>103.300022519404</v>
      </c>
      <c r="R33" s="13">
        <v>100</v>
      </c>
      <c r="S33" s="13">
        <v>10340</v>
      </c>
      <c r="T33" s="13">
        <v>0</v>
      </c>
      <c r="U33" s="13">
        <v>10330.002251940399</v>
      </c>
      <c r="V33" s="13">
        <v>-9.9977480595080106</v>
      </c>
      <c r="W33" s="13">
        <v>-9.9977480595080106</v>
      </c>
      <c r="X33" s="13">
        <v>0</v>
      </c>
      <c r="Y33" s="13">
        <v>0</v>
      </c>
      <c r="Z33" s="13">
        <v>-9.9977480595080106</v>
      </c>
      <c r="AA33" s="13">
        <v>-9.9977480595080106</v>
      </c>
      <c r="AD33" s="5"/>
      <c r="AE33" s="5"/>
      <c r="AF33" s="5"/>
      <c r="AG33" s="5"/>
      <c r="AH33" s="5"/>
      <c r="AI33" s="5"/>
      <c r="AJ33" s="5"/>
      <c r="AK33" s="6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</row>
    <row r="34" spans="1:49">
      <c r="A34" t="s">
        <v>27</v>
      </c>
      <c r="B34" t="s">
        <v>57</v>
      </c>
      <c r="C34">
        <v>103</v>
      </c>
      <c r="D34">
        <v>39079</v>
      </c>
      <c r="E34" t="s">
        <v>59</v>
      </c>
      <c r="F34" s="1" t="s">
        <v>60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141.16999999999999</v>
      </c>
      <c r="M34" s="13">
        <v>0</v>
      </c>
      <c r="N34" s="13">
        <v>-141.16999999999999</v>
      </c>
      <c r="O34" s="13">
        <v>0</v>
      </c>
      <c r="P34" s="13">
        <v>0</v>
      </c>
      <c r="Q34" s="13">
        <v>25.19</v>
      </c>
      <c r="R34" s="13">
        <v>800</v>
      </c>
      <c r="S34" s="13">
        <v>10340</v>
      </c>
      <c r="T34" s="13">
        <v>0</v>
      </c>
      <c r="U34" s="13">
        <v>20152</v>
      </c>
      <c r="V34" s="13">
        <v>9812</v>
      </c>
      <c r="W34" s="13">
        <v>9821.9977480595007</v>
      </c>
      <c r="X34" s="13">
        <v>0</v>
      </c>
      <c r="Y34" s="13">
        <v>141.16999999999999</v>
      </c>
      <c r="Z34" s="13">
        <v>9963.1677480595008</v>
      </c>
      <c r="AA34" s="13">
        <v>9953.17</v>
      </c>
      <c r="AD34" s="5"/>
      <c r="AE34" s="5"/>
      <c r="AF34" s="5"/>
      <c r="AG34" s="5"/>
      <c r="AH34" s="5"/>
      <c r="AI34" s="5"/>
      <c r="AJ34" s="5"/>
      <c r="AK34" s="6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</row>
    <row r="35" spans="1:49">
      <c r="A35" t="s">
        <v>27</v>
      </c>
      <c r="B35" t="s">
        <v>61</v>
      </c>
      <c r="C35">
        <v>12</v>
      </c>
      <c r="D35">
        <v>39882</v>
      </c>
      <c r="E35" t="s">
        <v>38</v>
      </c>
      <c r="F35" s="1" t="s">
        <v>62</v>
      </c>
      <c r="G35" s="13">
        <v>-11474.63</v>
      </c>
      <c r="H35" s="13">
        <v>0</v>
      </c>
      <c r="I35" s="13">
        <v>0</v>
      </c>
      <c r="J35" s="13">
        <v>0</v>
      </c>
      <c r="K35" s="13">
        <v>-12.19</v>
      </c>
      <c r="L35" s="13">
        <v>0</v>
      </c>
      <c r="M35" s="13">
        <v>0</v>
      </c>
      <c r="N35" s="13">
        <v>0</v>
      </c>
      <c r="O35" s="13">
        <v>-11486.82</v>
      </c>
      <c r="P35" s="13">
        <v>172.2141</v>
      </c>
      <c r="Q35" s="13">
        <v>66.630020155581093</v>
      </c>
      <c r="R35" s="13">
        <v>172.2141</v>
      </c>
      <c r="S35" s="13">
        <v>11486.82</v>
      </c>
      <c r="T35" s="13">
        <v>0</v>
      </c>
      <c r="U35" s="13">
        <v>11474.6289540752</v>
      </c>
      <c r="V35" s="13">
        <v>-12.191045924740999</v>
      </c>
      <c r="W35" s="13">
        <v>-12.191045924740999</v>
      </c>
      <c r="X35" s="13">
        <v>0</v>
      </c>
      <c r="Y35" s="13">
        <v>0</v>
      </c>
      <c r="Z35" s="13">
        <v>-12.191045924740999</v>
      </c>
      <c r="AA35" s="13">
        <v>-12.191045924740999</v>
      </c>
      <c r="AD35" s="5"/>
      <c r="AE35" s="5"/>
      <c r="AF35" s="5"/>
      <c r="AG35" s="5"/>
      <c r="AH35" s="5"/>
      <c r="AI35" s="5"/>
      <c r="AJ35" s="5"/>
      <c r="AK35" s="6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</row>
    <row r="36" spans="1:49">
      <c r="A36" t="s">
        <v>27</v>
      </c>
      <c r="B36" t="s">
        <v>61</v>
      </c>
      <c r="C36">
        <v>10</v>
      </c>
      <c r="D36">
        <v>40177</v>
      </c>
      <c r="E36" t="s">
        <v>63</v>
      </c>
      <c r="F36" s="1" t="s">
        <v>64</v>
      </c>
      <c r="G36" s="13">
        <v>-302.11</v>
      </c>
      <c r="H36" s="13">
        <v>0</v>
      </c>
      <c r="I36" s="13">
        <v>0</v>
      </c>
      <c r="J36" s="13">
        <v>0</v>
      </c>
      <c r="K36" s="13">
        <v>0</v>
      </c>
      <c r="L36" s="13">
        <v>302.11</v>
      </c>
      <c r="M36" s="13">
        <v>0</v>
      </c>
      <c r="N36" s="13">
        <v>0</v>
      </c>
      <c r="O36" s="13">
        <v>0</v>
      </c>
      <c r="P36" s="13">
        <v>2.9129999999999998</v>
      </c>
      <c r="Q36" s="13">
        <v>103.710018491496</v>
      </c>
      <c r="R36" s="13">
        <v>175.12710000000001</v>
      </c>
      <c r="S36" s="13">
        <v>11788.93</v>
      </c>
      <c r="T36" s="13">
        <v>0</v>
      </c>
      <c r="U36" s="13">
        <v>18162.434779362098</v>
      </c>
      <c r="V36" s="13">
        <v>6373.5047793621197</v>
      </c>
      <c r="W36" s="13">
        <v>6385.6958252868599</v>
      </c>
      <c r="X36" s="13">
        <v>0</v>
      </c>
      <c r="Y36" s="13">
        <v>302.11</v>
      </c>
      <c r="Z36" s="13">
        <v>6687.8058252868605</v>
      </c>
      <c r="AA36" s="13">
        <v>6675.6147793621203</v>
      </c>
      <c r="AD36" s="5"/>
      <c r="AE36" s="5"/>
      <c r="AF36" s="5"/>
      <c r="AG36" s="5"/>
      <c r="AH36" s="5"/>
      <c r="AI36" s="5"/>
      <c r="AJ36" s="5"/>
      <c r="AK36" s="6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</row>
    <row r="37" spans="1:49">
      <c r="A37" t="s">
        <v>27</v>
      </c>
      <c r="B37" t="s">
        <v>61</v>
      </c>
      <c r="C37">
        <v>112</v>
      </c>
      <c r="D37">
        <v>40265</v>
      </c>
      <c r="E37" t="s">
        <v>65</v>
      </c>
      <c r="F37" s="1" t="s">
        <v>66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7.61</v>
      </c>
      <c r="M37" s="13">
        <v>0</v>
      </c>
      <c r="N37" s="13">
        <v>0</v>
      </c>
      <c r="O37" s="13">
        <v>7.61</v>
      </c>
      <c r="P37" s="13">
        <v>0</v>
      </c>
      <c r="Q37" s="13">
        <v>107.87998567353701</v>
      </c>
      <c r="R37" s="13">
        <v>175.12710000000001</v>
      </c>
      <c r="S37" s="13">
        <v>11788.93</v>
      </c>
      <c r="T37" s="13">
        <v>0</v>
      </c>
      <c r="U37" s="13">
        <v>18892.709039048201</v>
      </c>
      <c r="V37" s="13">
        <v>7103.7790390482396</v>
      </c>
      <c r="W37" s="13">
        <v>730.27425968611703</v>
      </c>
      <c r="X37" s="13">
        <v>0</v>
      </c>
      <c r="Y37" s="13">
        <v>7.61</v>
      </c>
      <c r="Z37" s="13">
        <v>737.88425968611705</v>
      </c>
      <c r="AA37" s="13">
        <v>7413.4990390482399</v>
      </c>
      <c r="AD37" s="5"/>
      <c r="AE37" s="5"/>
      <c r="AF37" s="5"/>
      <c r="AG37" s="5"/>
      <c r="AH37" s="5"/>
      <c r="AI37" s="5"/>
      <c r="AJ37" s="5"/>
      <c r="AK37" s="6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</row>
    <row r="38" spans="1:49">
      <c r="A38" t="s">
        <v>27</v>
      </c>
      <c r="B38" t="s">
        <v>61</v>
      </c>
      <c r="C38">
        <v>128</v>
      </c>
      <c r="D38">
        <v>40301</v>
      </c>
      <c r="E38" t="s">
        <v>45</v>
      </c>
      <c r="F38" s="1" t="s">
        <v>67</v>
      </c>
      <c r="G38" s="13">
        <v>0</v>
      </c>
      <c r="H38" s="13">
        <v>18034.59</v>
      </c>
      <c r="I38" s="13">
        <v>0</v>
      </c>
      <c r="J38" s="13">
        <v>0</v>
      </c>
      <c r="K38" s="13">
        <v>-22.19</v>
      </c>
      <c r="L38" s="13">
        <v>0</v>
      </c>
      <c r="M38" s="13">
        <v>0</v>
      </c>
      <c r="N38" s="13">
        <v>0</v>
      </c>
      <c r="O38" s="13">
        <v>18012.400000000001</v>
      </c>
      <c r="P38" s="13">
        <v>-175.12710000000001</v>
      </c>
      <c r="Q38" s="13">
        <v>110.859951731577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0</v>
      </c>
      <c r="X38" s="13">
        <v>6223.47</v>
      </c>
      <c r="Y38" s="13">
        <v>0</v>
      </c>
      <c r="Z38" s="13">
        <v>6223.47</v>
      </c>
      <c r="AA38" s="13">
        <v>6533.19</v>
      </c>
      <c r="AD38" s="5"/>
      <c r="AE38" s="5"/>
      <c r="AF38" s="5"/>
      <c r="AG38" s="5"/>
      <c r="AH38" s="5"/>
      <c r="AI38" s="5"/>
      <c r="AJ38" s="5"/>
      <c r="AK38" s="6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</row>
    <row r="39" spans="1:49">
      <c r="A39" t="s">
        <v>27</v>
      </c>
      <c r="B39" t="s">
        <v>68</v>
      </c>
      <c r="C39">
        <v>99</v>
      </c>
      <c r="D39">
        <v>40186</v>
      </c>
      <c r="E39" t="s">
        <v>69</v>
      </c>
      <c r="F39" s="1" t="s">
        <v>70</v>
      </c>
      <c r="G39" s="13">
        <v>-899.1</v>
      </c>
      <c r="H39" s="13">
        <v>0</v>
      </c>
      <c r="I39" s="13">
        <v>0</v>
      </c>
      <c r="J39" s="13">
        <v>0</v>
      </c>
      <c r="K39" s="13">
        <v>-12</v>
      </c>
      <c r="L39" s="13">
        <v>0</v>
      </c>
      <c r="M39" s="13">
        <v>0</v>
      </c>
      <c r="N39" s="13">
        <v>911.1</v>
      </c>
      <c r="O39" s="13">
        <v>0</v>
      </c>
      <c r="P39" s="13">
        <v>54</v>
      </c>
      <c r="Q39" s="13">
        <v>16.699999866399999</v>
      </c>
      <c r="R39" s="13">
        <v>54</v>
      </c>
      <c r="S39" s="13">
        <v>911.1</v>
      </c>
      <c r="T39" s="13">
        <v>0</v>
      </c>
      <c r="U39" s="13">
        <v>901.79999278560001</v>
      </c>
      <c r="V39" s="13">
        <v>-9.3000072143998906</v>
      </c>
      <c r="W39" s="13">
        <v>-9.3000072143998906</v>
      </c>
      <c r="X39" s="13">
        <v>0</v>
      </c>
      <c r="Y39" s="13">
        <v>0</v>
      </c>
      <c r="Z39" s="13">
        <v>-9.3000072143998906</v>
      </c>
      <c r="AA39" s="13">
        <v>-9.3000072143998906</v>
      </c>
      <c r="AD39" s="5"/>
      <c r="AE39" s="5"/>
      <c r="AF39" s="5"/>
      <c r="AG39" s="5"/>
      <c r="AH39" s="5"/>
      <c r="AI39" s="5"/>
      <c r="AJ39" s="5"/>
      <c r="AK39" s="6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</row>
    <row r="40" spans="1:49">
      <c r="A40" t="s">
        <v>27</v>
      </c>
      <c r="B40" t="s">
        <v>68</v>
      </c>
      <c r="C40">
        <v>122</v>
      </c>
      <c r="D40">
        <v>40187</v>
      </c>
      <c r="E40" t="s">
        <v>65</v>
      </c>
      <c r="F40" s="1" t="s">
        <v>71</v>
      </c>
      <c r="G40" s="13">
        <v>16.32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16.32</v>
      </c>
      <c r="P40" s="13">
        <v>0</v>
      </c>
      <c r="Q40" s="13">
        <v>16.699999866399999</v>
      </c>
      <c r="R40" s="13">
        <v>54</v>
      </c>
      <c r="S40" s="13">
        <v>894.78</v>
      </c>
      <c r="T40" s="13">
        <v>0</v>
      </c>
      <c r="U40" s="13">
        <v>901.79999278560001</v>
      </c>
      <c r="V40" s="13">
        <v>7.0199927856001496</v>
      </c>
      <c r="W40" s="13">
        <v>16.32</v>
      </c>
      <c r="X40" s="13">
        <v>0</v>
      </c>
      <c r="Y40" s="13">
        <v>0</v>
      </c>
      <c r="Z40" s="13">
        <v>16.32</v>
      </c>
      <c r="AA40" s="13">
        <v>7.0199927856001496</v>
      </c>
      <c r="AD40" s="5"/>
      <c r="AE40" s="5"/>
      <c r="AF40" s="5"/>
      <c r="AG40" s="5"/>
      <c r="AH40" s="5"/>
      <c r="AI40" s="5"/>
      <c r="AJ40" s="5"/>
      <c r="AK40" s="6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</row>
    <row r="41" spans="1:49">
      <c r="A41" t="s">
        <v>35</v>
      </c>
      <c r="B41" t="s">
        <v>57</v>
      </c>
      <c r="C41">
        <v>143</v>
      </c>
      <c r="D41">
        <v>40266</v>
      </c>
      <c r="E41" t="s">
        <v>38</v>
      </c>
      <c r="F41" s="1" t="s">
        <v>58</v>
      </c>
      <c r="G41" s="13">
        <v>-2974.7</v>
      </c>
      <c r="H41" s="13">
        <v>0</v>
      </c>
      <c r="I41" s="13">
        <v>0</v>
      </c>
      <c r="J41" s="13">
        <v>0</v>
      </c>
      <c r="K41" s="13">
        <v>-12.21</v>
      </c>
      <c r="L41" s="13">
        <v>0</v>
      </c>
      <c r="M41" s="13">
        <v>0</v>
      </c>
      <c r="N41" s="13">
        <v>0</v>
      </c>
      <c r="O41" s="13">
        <v>-2986.91</v>
      </c>
      <c r="P41" s="13">
        <v>197</v>
      </c>
      <c r="Q41" s="13">
        <v>14.92</v>
      </c>
      <c r="R41" s="13">
        <v>197</v>
      </c>
      <c r="S41" s="13">
        <v>2986.91</v>
      </c>
      <c r="T41" s="13">
        <v>0</v>
      </c>
      <c r="U41" s="13">
        <v>2939.24</v>
      </c>
      <c r="V41" s="13">
        <v>-47.67</v>
      </c>
      <c r="W41" s="13">
        <v>-47.67</v>
      </c>
      <c r="X41" s="13">
        <v>0</v>
      </c>
      <c r="Y41" s="13">
        <v>0</v>
      </c>
      <c r="Z41" s="13">
        <v>-47.67</v>
      </c>
      <c r="AA41" s="13">
        <v>-47.67</v>
      </c>
      <c r="AD41" s="5"/>
      <c r="AE41" s="5"/>
      <c r="AF41" s="5"/>
      <c r="AG41" s="5"/>
      <c r="AH41" s="5"/>
      <c r="AI41" s="5"/>
      <c r="AJ41" s="5"/>
      <c r="AK41" s="6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</row>
    <row r="42" spans="1:49">
      <c r="A42" t="s">
        <v>35</v>
      </c>
      <c r="B42" t="s">
        <v>72</v>
      </c>
      <c r="C42">
        <v>133</v>
      </c>
      <c r="D42">
        <v>40049</v>
      </c>
      <c r="E42" t="s">
        <v>38</v>
      </c>
      <c r="F42" s="1" t="s">
        <v>73</v>
      </c>
      <c r="G42" s="13">
        <v>-3170.37</v>
      </c>
      <c r="H42" s="13">
        <v>0</v>
      </c>
      <c r="I42" s="13">
        <v>0</v>
      </c>
      <c r="J42" s="13">
        <v>0</v>
      </c>
      <c r="K42" s="13">
        <v>-6.77</v>
      </c>
      <c r="L42" s="13">
        <v>0</v>
      </c>
      <c r="M42" s="13">
        <v>0</v>
      </c>
      <c r="N42" s="13">
        <v>0</v>
      </c>
      <c r="O42" s="13">
        <v>-3177.14</v>
      </c>
      <c r="P42" s="13">
        <v>217</v>
      </c>
      <c r="Q42" s="13">
        <v>14.44</v>
      </c>
      <c r="R42" s="13">
        <v>217</v>
      </c>
      <c r="S42" s="13">
        <v>3177.14</v>
      </c>
      <c r="T42" s="13">
        <v>0</v>
      </c>
      <c r="U42" s="13">
        <v>3133.48</v>
      </c>
      <c r="V42" s="13">
        <v>-43.659999999999798</v>
      </c>
      <c r="W42" s="13">
        <v>-43.659999999999798</v>
      </c>
      <c r="X42" s="13">
        <v>0</v>
      </c>
      <c r="Y42" s="13">
        <v>0</v>
      </c>
      <c r="Z42" s="13">
        <v>-43.659999999999798</v>
      </c>
      <c r="AA42" s="13">
        <v>-43.659999999999798</v>
      </c>
      <c r="AD42" s="5"/>
      <c r="AE42" s="5"/>
      <c r="AF42" s="5"/>
      <c r="AG42" s="5"/>
      <c r="AH42" s="5"/>
      <c r="AI42" s="5"/>
      <c r="AJ42" s="5"/>
      <c r="AK42" s="6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49">
      <c r="A43" t="s">
        <v>35</v>
      </c>
      <c r="B43" t="s">
        <v>72</v>
      </c>
      <c r="C43">
        <v>135</v>
      </c>
      <c r="D43">
        <v>40074</v>
      </c>
      <c r="E43" t="s">
        <v>41</v>
      </c>
      <c r="F43" s="1"/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10.199999999999999</v>
      </c>
      <c r="M43" s="13">
        <v>0</v>
      </c>
      <c r="N43" s="13">
        <v>0</v>
      </c>
      <c r="O43" s="13">
        <v>10.199999999999999</v>
      </c>
      <c r="P43" s="13">
        <v>0</v>
      </c>
      <c r="Q43" s="13">
        <v>15.14</v>
      </c>
      <c r="R43" s="13">
        <v>217</v>
      </c>
      <c r="S43" s="13">
        <v>3177.14</v>
      </c>
      <c r="T43" s="13">
        <v>0</v>
      </c>
      <c r="U43" s="13">
        <v>3285.38</v>
      </c>
      <c r="V43" s="13">
        <v>108.24</v>
      </c>
      <c r="W43" s="13">
        <v>151.9</v>
      </c>
      <c r="X43" s="13">
        <v>0</v>
      </c>
      <c r="Y43" s="13">
        <v>10.199999999999999</v>
      </c>
      <c r="Z43" s="13">
        <v>162.1</v>
      </c>
      <c r="AA43" s="13">
        <v>118.44</v>
      </c>
      <c r="AD43" s="5"/>
      <c r="AE43" s="5"/>
      <c r="AF43" s="5"/>
      <c r="AG43" s="5"/>
      <c r="AH43" s="5"/>
      <c r="AI43" s="5"/>
      <c r="AJ43" s="5"/>
      <c r="AK43" s="6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</row>
    <row r="44" spans="1:49">
      <c r="A44" t="s">
        <v>35</v>
      </c>
      <c r="B44" t="s">
        <v>72</v>
      </c>
      <c r="C44">
        <v>138</v>
      </c>
      <c r="D44">
        <v>40165</v>
      </c>
      <c r="E44" t="s">
        <v>41</v>
      </c>
      <c r="F44" s="1"/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11.28</v>
      </c>
      <c r="M44" s="13">
        <v>0</v>
      </c>
      <c r="N44" s="13">
        <v>0</v>
      </c>
      <c r="O44" s="13">
        <v>11.28</v>
      </c>
      <c r="P44" s="13">
        <v>0</v>
      </c>
      <c r="Q44" s="13">
        <v>14.22</v>
      </c>
      <c r="R44" s="13">
        <v>217</v>
      </c>
      <c r="S44" s="13">
        <v>3177.14</v>
      </c>
      <c r="T44" s="13">
        <v>0</v>
      </c>
      <c r="U44" s="13">
        <v>3085.74</v>
      </c>
      <c r="V44" s="13">
        <v>-91.399999999999594</v>
      </c>
      <c r="W44" s="13">
        <v>-199.64</v>
      </c>
      <c r="X44" s="13">
        <v>0</v>
      </c>
      <c r="Y44" s="13">
        <v>11.28</v>
      </c>
      <c r="Z44" s="13">
        <v>-188.36</v>
      </c>
      <c r="AA44" s="13">
        <v>-69.919999999999604</v>
      </c>
      <c r="AD44" s="5"/>
      <c r="AE44" s="5"/>
      <c r="AF44" s="5"/>
      <c r="AG44" s="5"/>
      <c r="AH44" s="5"/>
      <c r="AI44" s="5"/>
      <c r="AJ44" s="5"/>
      <c r="AK44" s="6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>
      <c r="A45" t="s">
        <v>35</v>
      </c>
      <c r="B45" t="s">
        <v>72</v>
      </c>
      <c r="C45">
        <v>141</v>
      </c>
      <c r="D45">
        <v>40273</v>
      </c>
      <c r="E45" t="s">
        <v>45</v>
      </c>
      <c r="F45" s="1" t="s">
        <v>74</v>
      </c>
      <c r="G45" s="13">
        <v>0</v>
      </c>
      <c r="H45" s="13">
        <v>3526.25</v>
      </c>
      <c r="I45" s="13">
        <v>0</v>
      </c>
      <c r="J45" s="13">
        <v>0</v>
      </c>
      <c r="K45" s="13">
        <v>-19.04</v>
      </c>
      <c r="L45" s="13">
        <v>0</v>
      </c>
      <c r="M45" s="13">
        <v>0</v>
      </c>
      <c r="N45" s="13">
        <v>0</v>
      </c>
      <c r="O45" s="13">
        <v>3507.21</v>
      </c>
      <c r="P45" s="13">
        <v>-217</v>
      </c>
      <c r="Q45" s="13">
        <v>16.239999999999998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330.07</v>
      </c>
      <c r="Y45" s="13">
        <v>0</v>
      </c>
      <c r="Z45" s="13">
        <v>330.07</v>
      </c>
      <c r="AA45" s="13">
        <v>351.55</v>
      </c>
      <c r="AD45" s="5"/>
      <c r="AE45" s="5"/>
      <c r="AF45" s="5"/>
      <c r="AG45" s="5"/>
      <c r="AH45" s="5"/>
      <c r="AI45" s="5"/>
      <c r="AJ45" s="5"/>
      <c r="AK45" s="6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>
      <c r="A46" t="s">
        <v>176</v>
      </c>
      <c r="B46" t="s">
        <v>177</v>
      </c>
      <c r="C46">
        <v>150</v>
      </c>
      <c r="D46">
        <v>40248</v>
      </c>
      <c r="E46" t="s">
        <v>38</v>
      </c>
      <c r="F46" s="1" t="s">
        <v>178</v>
      </c>
      <c r="G46" s="13">
        <v>-221.26</v>
      </c>
      <c r="H46" s="13">
        <v>0</v>
      </c>
      <c r="I46" s="13">
        <v>0</v>
      </c>
      <c r="J46" s="13">
        <v>0</v>
      </c>
      <c r="K46" s="13">
        <v>-2.73</v>
      </c>
      <c r="L46" s="13">
        <v>0</v>
      </c>
      <c r="M46" s="13">
        <v>0</v>
      </c>
      <c r="N46" s="13">
        <v>0</v>
      </c>
      <c r="O46" s="13">
        <v>-223.98999999999899</v>
      </c>
      <c r="P46" s="13">
        <v>21.172999999999998</v>
      </c>
      <c r="Q46" s="13">
        <v>10.45</v>
      </c>
      <c r="R46" s="13">
        <v>21.172999999999998</v>
      </c>
      <c r="S46" s="13">
        <v>223.98999999999899</v>
      </c>
      <c r="T46" s="13">
        <v>0</v>
      </c>
      <c r="U46" s="13">
        <v>221.257849999999</v>
      </c>
      <c r="V46" s="13">
        <v>-2.7321500000000101</v>
      </c>
      <c r="W46" s="13">
        <v>-2.7321500000000101</v>
      </c>
      <c r="X46" s="13">
        <v>0</v>
      </c>
      <c r="Y46" s="13">
        <v>0</v>
      </c>
      <c r="Z46" s="13">
        <v>-2.7321500000000101</v>
      </c>
      <c r="AA46" s="13">
        <v>-2.7321500000000101</v>
      </c>
      <c r="AD46" s="5"/>
      <c r="AE46" s="5"/>
      <c r="AF46" s="5"/>
      <c r="AG46" s="5"/>
      <c r="AH46" s="5"/>
      <c r="AI46" s="5"/>
      <c r="AJ46" s="5"/>
      <c r="AK46" s="6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>
      <c r="AD47" s="5"/>
      <c r="AE47" s="5"/>
      <c r="AF47" s="5"/>
      <c r="AG47" s="5"/>
      <c r="AH47" s="5"/>
      <c r="AI47" s="5"/>
      <c r="AJ47" s="5"/>
      <c r="AK47" s="6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>
      <c r="AD48" s="5"/>
      <c r="AE48" s="5"/>
      <c r="AF48" s="5"/>
      <c r="AG48" s="5"/>
      <c r="AH48" s="5"/>
      <c r="AI48" s="5"/>
      <c r="AJ48" s="5"/>
      <c r="AK48" s="6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29:49">
      <c r="AD49" s="5"/>
      <c r="AE49" s="5"/>
      <c r="AF49" s="5"/>
      <c r="AG49" s="5"/>
      <c r="AH49" s="5"/>
      <c r="AI49" s="5"/>
      <c r="AJ49" s="5"/>
      <c r="AK49" s="6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29:49">
      <c r="AD50" s="5"/>
      <c r="AE50" s="5"/>
      <c r="AF50" s="5"/>
      <c r="AG50" s="5"/>
      <c r="AH50" s="5"/>
      <c r="AI50" s="5"/>
      <c r="AJ50" s="5"/>
      <c r="AK50" s="6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29:49">
      <c r="AD51" s="5"/>
      <c r="AE51" s="5"/>
      <c r="AF51" s="5"/>
      <c r="AG51" s="5"/>
      <c r="AH51" s="5"/>
      <c r="AI51" s="5"/>
      <c r="AJ51" s="5"/>
      <c r="AK51" s="6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29:49">
      <c r="AD52" s="5"/>
      <c r="AE52" s="5"/>
      <c r="AF52" s="5"/>
      <c r="AG52" s="5"/>
      <c r="AH52" s="5"/>
      <c r="AI52" s="5"/>
      <c r="AJ52" s="5"/>
      <c r="AK52" s="6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29:49">
      <c r="AD53" s="5"/>
      <c r="AF53" s="5"/>
      <c r="AG53" s="5"/>
      <c r="AH53" s="5"/>
      <c r="AI53" s="5"/>
      <c r="AJ53" s="5"/>
      <c r="AK53" s="6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29:49">
      <c r="AD54" s="5">
        <f>+I47</f>
        <v>0</v>
      </c>
      <c r="AE54" s="5"/>
      <c r="AF54" s="5" t="s">
        <v>80</v>
      </c>
      <c r="AH54" s="5">
        <v>0</v>
      </c>
      <c r="AI54" s="5"/>
      <c r="AJ54" s="5"/>
      <c r="AK54" s="6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29:49">
      <c r="AD55" s="5">
        <f>+-T55</f>
        <v>0</v>
      </c>
      <c r="AE55" s="5"/>
      <c r="AF55" s="5" t="s">
        <v>81</v>
      </c>
      <c r="AG55" s="5"/>
      <c r="AH55" s="5">
        <f>+-Z56</f>
        <v>0</v>
      </c>
      <c r="AI55" s="5"/>
      <c r="AJ55" s="5"/>
      <c r="AK55" s="6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29:49">
      <c r="AD56" s="5">
        <f>+AD54+AD55</f>
        <v>0</v>
      </c>
      <c r="AE56" s="5"/>
      <c r="AF56" s="5" t="s">
        <v>82</v>
      </c>
      <c r="AG56" s="5"/>
      <c r="AH56" s="5">
        <f>-(M52-G47)*(N47-H47)</f>
        <v>0</v>
      </c>
      <c r="AI56" s="5"/>
      <c r="AJ56" s="5"/>
      <c r="AK56" s="6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29:49">
      <c r="AD57" s="5"/>
      <c r="AE57" s="5"/>
      <c r="AF57" s="5" t="s">
        <v>83</v>
      </c>
      <c r="AG57" s="5"/>
      <c r="AH57" s="5"/>
      <c r="AI57" s="5"/>
      <c r="AJ57" s="5"/>
      <c r="AK57" s="6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29:49">
      <c r="AD58" s="5"/>
      <c r="AE58" s="5"/>
      <c r="AF58" s="5"/>
      <c r="AG58" s="5"/>
      <c r="AH58" s="5"/>
      <c r="AI58" s="5"/>
      <c r="AJ58" s="5"/>
      <c r="AK58" s="6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29:49">
      <c r="AC59">
        <v>0</v>
      </c>
      <c r="AD59" s="5"/>
      <c r="AE59" s="5"/>
      <c r="AF59" s="5"/>
      <c r="AG59" s="5"/>
      <c r="AH59" s="5"/>
      <c r="AI59" s="5"/>
      <c r="AJ59" s="5"/>
      <c r="AK59" s="6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29:49">
      <c r="AC60">
        <f>+-Z56</f>
        <v>0</v>
      </c>
      <c r="AD60" s="5"/>
      <c r="AE60" s="5"/>
      <c r="AF60" s="5"/>
      <c r="AG60" s="5"/>
      <c r="AH60" s="5"/>
      <c r="AI60" s="5"/>
      <c r="AJ60" s="5"/>
      <c r="AK60" s="6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29:49">
      <c r="AC61" s="7">
        <f>+-AD55</f>
        <v>0</v>
      </c>
      <c r="AD61" s="5"/>
      <c r="AE61" s="5"/>
      <c r="AF61" s="5"/>
      <c r="AG61" s="5"/>
      <c r="AH61" s="5"/>
      <c r="AI61" s="5"/>
      <c r="AJ61" s="5"/>
      <c r="AK61" s="6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29:49">
      <c r="AC62" s="7">
        <f>+AH56</f>
        <v>0</v>
      </c>
      <c r="AD62" s="5"/>
      <c r="AE62" s="5"/>
      <c r="AF62" s="5"/>
      <c r="AG62" s="5"/>
      <c r="AH62" s="5"/>
      <c r="AI62" s="5"/>
      <c r="AJ62" s="5"/>
      <c r="AK62" s="6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29:49">
      <c r="AC63" s="7">
        <f>+SUM(AC60:AC62)</f>
        <v>0</v>
      </c>
      <c r="AD63" s="5"/>
      <c r="AE63" s="5"/>
      <c r="AF63" s="5"/>
      <c r="AG63" s="5"/>
      <c r="AH63" s="5"/>
      <c r="AI63" s="5"/>
      <c r="AJ63" s="5"/>
      <c r="AK63" s="6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29:49">
      <c r="AD64" s="5"/>
      <c r="AE64" s="5"/>
      <c r="AF64" s="5"/>
      <c r="AG64" s="5"/>
      <c r="AH64" s="5"/>
      <c r="AI64" s="5"/>
      <c r="AJ64" s="5"/>
      <c r="AK64" s="6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30:49">
      <c r="AD65" s="5"/>
      <c r="AE65" s="5"/>
      <c r="AF65" s="5"/>
      <c r="AG65" s="5"/>
      <c r="AH65" s="5"/>
      <c r="AI65" s="5"/>
      <c r="AJ65" s="5"/>
      <c r="AK65" s="6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30:49">
      <c r="AD66" s="5"/>
      <c r="AE66" s="5"/>
      <c r="AF66" s="5"/>
      <c r="AG66" s="5"/>
      <c r="AH66" s="5"/>
      <c r="AI66" s="5"/>
      <c r="AJ66" s="5"/>
      <c r="AK66" s="6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30:49">
      <c r="AD67" s="5"/>
      <c r="AE67" s="5"/>
      <c r="AF67" s="5"/>
      <c r="AG67" s="5"/>
      <c r="AH67" s="5"/>
      <c r="AI67" s="5"/>
      <c r="AJ67" s="5"/>
      <c r="AK67" s="6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30:49">
      <c r="AD68" s="5"/>
      <c r="AE68" s="5"/>
      <c r="AF68" s="5"/>
      <c r="AG68" s="5"/>
      <c r="AH68" s="5"/>
      <c r="AI68" s="5"/>
      <c r="AJ68" s="5"/>
      <c r="AK68" s="6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</row>
    <row r="69" spans="30:49">
      <c r="AD69" s="5"/>
      <c r="AE69" s="5"/>
      <c r="AF69" s="5"/>
      <c r="AG69" s="5"/>
      <c r="AH69" s="5"/>
      <c r="AI69" s="5"/>
      <c r="AJ69" s="5"/>
      <c r="AK69" s="6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</row>
    <row r="70" spans="30:49">
      <c r="AD70" s="5"/>
      <c r="AE70" s="5"/>
      <c r="AF70" s="5"/>
      <c r="AG70" s="5"/>
      <c r="AH70" s="5"/>
      <c r="AI70" s="5"/>
      <c r="AJ70" s="5"/>
      <c r="AK70" s="6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</row>
    <row r="71" spans="30:49">
      <c r="AD71" s="5"/>
      <c r="AE71" s="5"/>
      <c r="AF71" s="5"/>
      <c r="AG71" s="5"/>
      <c r="AH71" s="5"/>
      <c r="AI71" s="5"/>
      <c r="AJ71" s="5"/>
      <c r="AK71" s="6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</row>
    <row r="72" spans="30:49">
      <c r="AD72" s="5"/>
      <c r="AE72" s="5"/>
      <c r="AF72" s="5"/>
      <c r="AG72" s="5"/>
      <c r="AH72" s="5"/>
      <c r="AI72" s="5"/>
      <c r="AJ72" s="5"/>
      <c r="AK72" s="6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</row>
    <row r="73" spans="30:49">
      <c r="AD73" s="5"/>
      <c r="AE73" s="5"/>
      <c r="AF73" s="5"/>
      <c r="AG73" s="5"/>
      <c r="AH73" s="5"/>
      <c r="AI73" s="5"/>
      <c r="AJ73" s="5"/>
      <c r="AK73" s="6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</row>
    <row r="74" spans="30:49">
      <c r="AD74" s="5"/>
      <c r="AE74" s="5"/>
      <c r="AF74" s="5"/>
      <c r="AG74" s="5"/>
      <c r="AH74" s="5"/>
      <c r="AI74" s="5"/>
      <c r="AJ74" s="5"/>
      <c r="AK74" s="6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</row>
    <row r="75" spans="30:49">
      <c r="AD75" s="5"/>
      <c r="AE75" s="5"/>
      <c r="AF75" s="5"/>
      <c r="AG75" s="5"/>
      <c r="AH75" s="5"/>
      <c r="AI75" s="5"/>
      <c r="AJ75" s="5"/>
      <c r="AK75" s="6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D68"/>
  <sheetViews>
    <sheetView tabSelected="1" zoomScale="85" zoomScaleNormal="85" workbookViewId="0">
      <selection activeCell="A17" sqref="A17"/>
    </sheetView>
  </sheetViews>
  <sheetFormatPr defaultRowHeight="15"/>
  <cols>
    <col min="3" max="3" width="12" bestFit="1" customWidth="1"/>
    <col min="4" max="4" width="10.28515625" bestFit="1" customWidth="1"/>
    <col min="6" max="6" width="14.85546875" customWidth="1"/>
    <col min="7" max="7" width="11.140625" customWidth="1"/>
    <col min="8" max="8" width="10.5703125" bestFit="1" customWidth="1"/>
    <col min="17" max="17" width="9.42578125" customWidth="1"/>
    <col min="18" max="18" width="9.5703125" bestFit="1" customWidth="1"/>
  </cols>
  <sheetData>
    <row r="1" spans="1:56">
      <c r="A1" s="9" t="s">
        <v>111</v>
      </c>
      <c r="X1" s="5"/>
      <c r="Y1" s="5"/>
      <c r="Z1" s="5"/>
      <c r="AA1" s="5"/>
      <c r="AB1" s="5"/>
      <c r="AC1" s="5"/>
      <c r="AD1" s="5"/>
      <c r="AU1" s="6"/>
      <c r="AV1" s="5"/>
      <c r="AW1" s="5"/>
      <c r="AX1" s="5"/>
      <c r="AY1" s="5"/>
      <c r="AZ1" s="5"/>
      <c r="BA1" s="5"/>
      <c r="BB1" s="5"/>
      <c r="BC1" s="5"/>
      <c r="BD1" s="5"/>
    </row>
    <row r="2" spans="1:5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s="5"/>
      <c r="AC2" s="5"/>
      <c r="AD2" s="5"/>
      <c r="AU2" s="6"/>
      <c r="AV2" s="5"/>
      <c r="AW2" s="5"/>
      <c r="AX2" s="5"/>
      <c r="AY2" s="5"/>
      <c r="AZ2" s="5"/>
      <c r="BA2" s="5"/>
      <c r="BB2" s="5"/>
      <c r="BC2" s="5"/>
      <c r="BD2" s="5"/>
    </row>
    <row r="3" spans="1:56">
      <c r="A3" t="s">
        <v>27</v>
      </c>
      <c r="B3" t="s">
        <v>37</v>
      </c>
      <c r="C3">
        <v>20</v>
      </c>
      <c r="D3">
        <v>40211</v>
      </c>
      <c r="E3" t="s">
        <v>38</v>
      </c>
      <c r="F3" t="s">
        <v>39</v>
      </c>
      <c r="G3">
        <v>-3780</v>
      </c>
      <c r="H3">
        <v>0</v>
      </c>
      <c r="I3">
        <v>0</v>
      </c>
      <c r="J3">
        <v>0</v>
      </c>
      <c r="K3">
        <v>-17</v>
      </c>
      <c r="L3">
        <v>0</v>
      </c>
      <c r="M3">
        <v>0</v>
      </c>
      <c r="N3">
        <v>0</v>
      </c>
      <c r="O3">
        <v>-3797</v>
      </c>
      <c r="P3">
        <v>112</v>
      </c>
      <c r="Q3">
        <v>35.339997278820199</v>
      </c>
      <c r="R3">
        <v>112</v>
      </c>
      <c r="S3">
        <v>3797</v>
      </c>
      <c r="T3">
        <v>0</v>
      </c>
      <c r="U3">
        <v>3958.0796952278602</v>
      </c>
      <c r="V3">
        <v>161.079695227863</v>
      </c>
      <c r="W3">
        <v>161.079695227863</v>
      </c>
      <c r="X3">
        <v>0</v>
      </c>
      <c r="Y3">
        <v>0</v>
      </c>
      <c r="Z3">
        <v>161.079695227863</v>
      </c>
      <c r="AA3">
        <v>161.079695227863</v>
      </c>
      <c r="AB3" s="5"/>
      <c r="AC3" s="5"/>
      <c r="AD3" s="5"/>
      <c r="AU3" s="6"/>
      <c r="AV3" s="5"/>
      <c r="AW3" s="5"/>
      <c r="AX3" s="5"/>
      <c r="AY3" s="5"/>
      <c r="AZ3" s="5"/>
      <c r="BA3" s="5"/>
      <c r="BB3" s="5"/>
      <c r="BC3" s="5"/>
      <c r="BD3" s="5"/>
    </row>
    <row r="4" spans="1:56">
      <c r="A4" t="s">
        <v>27</v>
      </c>
      <c r="B4" t="s">
        <v>37</v>
      </c>
      <c r="C4">
        <v>18</v>
      </c>
      <c r="D4">
        <v>40252</v>
      </c>
      <c r="E4" t="s">
        <v>38</v>
      </c>
      <c r="F4" t="s">
        <v>40</v>
      </c>
      <c r="G4">
        <v>-1710</v>
      </c>
      <c r="H4">
        <v>0</v>
      </c>
      <c r="I4">
        <v>0</v>
      </c>
      <c r="J4">
        <v>0</v>
      </c>
      <c r="K4">
        <v>-10</v>
      </c>
      <c r="L4">
        <v>0</v>
      </c>
      <c r="M4">
        <v>0</v>
      </c>
      <c r="N4">
        <v>0</v>
      </c>
      <c r="O4">
        <v>-1720</v>
      </c>
      <c r="P4">
        <v>60</v>
      </c>
      <c r="Q4">
        <v>28.330000308797</v>
      </c>
      <c r="R4">
        <v>228</v>
      </c>
      <c r="S4">
        <v>5517</v>
      </c>
      <c r="T4">
        <v>0</v>
      </c>
      <c r="U4">
        <v>6459.24007040571</v>
      </c>
      <c r="V4">
        <v>942.24007040571701</v>
      </c>
      <c r="W4">
        <v>781.16037517785298</v>
      </c>
      <c r="X4">
        <v>0</v>
      </c>
      <c r="Y4">
        <v>0</v>
      </c>
      <c r="Z4">
        <v>781.16037517785298</v>
      </c>
      <c r="AA4">
        <v>942.24007040571598</v>
      </c>
      <c r="AB4" s="5"/>
      <c r="AC4" s="5"/>
      <c r="AD4" s="5"/>
      <c r="AU4" s="6"/>
      <c r="AV4" s="5"/>
      <c r="AW4" s="5"/>
      <c r="AX4" s="5"/>
      <c r="AY4" s="5"/>
      <c r="AZ4" s="5"/>
      <c r="BA4" s="5"/>
      <c r="BB4" s="5"/>
      <c r="BC4" s="5"/>
      <c r="BD4" s="5"/>
    </row>
    <row r="5" spans="1:56">
      <c r="A5" t="s">
        <v>27</v>
      </c>
      <c r="B5" t="s">
        <v>37</v>
      </c>
      <c r="C5">
        <v>14</v>
      </c>
      <c r="D5">
        <v>40266</v>
      </c>
      <c r="E5" t="s">
        <v>41</v>
      </c>
      <c r="F5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97.21</v>
      </c>
      <c r="M5">
        <v>0</v>
      </c>
      <c r="N5">
        <v>0</v>
      </c>
      <c r="O5">
        <v>97.21</v>
      </c>
      <c r="P5">
        <v>0</v>
      </c>
      <c r="Q5">
        <v>28.380001407647999</v>
      </c>
      <c r="R5">
        <v>228</v>
      </c>
      <c r="S5">
        <v>5517</v>
      </c>
      <c r="T5">
        <v>0</v>
      </c>
      <c r="U5">
        <v>6470.6403209437503</v>
      </c>
      <c r="V5">
        <v>953.64032094375898</v>
      </c>
      <c r="W5">
        <v>11.400250538042201</v>
      </c>
      <c r="X5">
        <v>0</v>
      </c>
      <c r="Y5">
        <v>97.21</v>
      </c>
      <c r="Z5">
        <v>108.610250538042</v>
      </c>
      <c r="AA5">
        <v>1050.8503209437579</v>
      </c>
      <c r="AB5" s="5"/>
      <c r="AC5" s="5"/>
      <c r="AD5" s="5"/>
      <c r="AU5" s="6"/>
      <c r="AV5" s="5"/>
      <c r="AW5" s="5"/>
      <c r="AX5" s="5"/>
      <c r="AY5" s="5"/>
      <c r="AZ5" s="5"/>
      <c r="BA5" s="5"/>
      <c r="BB5" s="5"/>
      <c r="BC5" s="5"/>
      <c r="BD5" s="5"/>
    </row>
    <row r="6" spans="1:56">
      <c r="A6" t="s">
        <v>27</v>
      </c>
      <c r="B6" t="s">
        <v>37</v>
      </c>
      <c r="C6">
        <v>6</v>
      </c>
      <c r="D6">
        <v>40276</v>
      </c>
      <c r="E6" t="s">
        <v>43</v>
      </c>
      <c r="F6" t="s">
        <v>44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-3.76</v>
      </c>
      <c r="N6">
        <v>0</v>
      </c>
      <c r="O6">
        <v>-3.76</v>
      </c>
      <c r="P6">
        <v>0</v>
      </c>
      <c r="Q6">
        <v>30.120001096368</v>
      </c>
      <c r="R6">
        <v>228</v>
      </c>
      <c r="S6">
        <v>5517</v>
      </c>
      <c r="T6">
        <v>0</v>
      </c>
      <c r="U6">
        <v>6867.36024997191</v>
      </c>
      <c r="V6">
        <v>1350.36024997191</v>
      </c>
      <c r="W6">
        <v>396.71992902815299</v>
      </c>
      <c r="X6">
        <v>0</v>
      </c>
      <c r="Y6">
        <v>-3.76</v>
      </c>
      <c r="Z6">
        <v>392.959929028153</v>
      </c>
      <c r="AA6">
        <v>1443.8102499719109</v>
      </c>
      <c r="AN6" s="5"/>
      <c r="AO6" s="5"/>
      <c r="AP6" s="5"/>
      <c r="AQ6" s="5"/>
      <c r="AR6" s="5"/>
      <c r="AS6" s="5"/>
      <c r="AT6" s="5"/>
      <c r="AU6" s="6"/>
      <c r="AV6" s="5"/>
      <c r="AW6" s="5"/>
      <c r="AX6" s="5"/>
      <c r="AY6" s="5"/>
      <c r="AZ6" s="5"/>
      <c r="BA6" s="5"/>
      <c r="BB6" s="5"/>
      <c r="BC6" s="5"/>
      <c r="BD6" s="5"/>
    </row>
    <row r="7" spans="1:56">
      <c r="A7" t="s">
        <v>27</v>
      </c>
      <c r="B7" t="s">
        <v>37</v>
      </c>
      <c r="C7">
        <v>4</v>
      </c>
      <c r="D7">
        <v>40283</v>
      </c>
      <c r="E7" t="s">
        <v>45</v>
      </c>
      <c r="F7" t="s">
        <v>46</v>
      </c>
      <c r="G7">
        <v>0</v>
      </c>
      <c r="H7">
        <v>936</v>
      </c>
      <c r="I7">
        <v>0</v>
      </c>
      <c r="J7">
        <v>0</v>
      </c>
      <c r="K7">
        <v>-9</v>
      </c>
      <c r="L7">
        <v>0</v>
      </c>
      <c r="M7">
        <v>0</v>
      </c>
      <c r="N7">
        <v>0</v>
      </c>
      <c r="O7">
        <v>927</v>
      </c>
      <c r="P7">
        <v>-30</v>
      </c>
      <c r="Q7">
        <v>31.069997908989102</v>
      </c>
      <c r="R7">
        <v>198</v>
      </c>
      <c r="S7">
        <v>4791.0789473684199</v>
      </c>
      <c r="T7">
        <v>0</v>
      </c>
      <c r="U7">
        <v>6151.8595859798497</v>
      </c>
      <c r="V7">
        <v>1360.78063861142</v>
      </c>
      <c r="W7">
        <v>188.09936889897801</v>
      </c>
      <c r="X7">
        <v>201.07894736842101</v>
      </c>
      <c r="Y7">
        <v>0</v>
      </c>
      <c r="Z7">
        <v>389.178316267399</v>
      </c>
      <c r="AA7">
        <v>1832.9885662393099</v>
      </c>
      <c r="AN7" s="5"/>
      <c r="AO7" s="5"/>
      <c r="AP7" s="5"/>
      <c r="AQ7" s="5"/>
      <c r="AR7" s="5"/>
      <c r="AS7" s="5"/>
      <c r="AT7" s="5"/>
      <c r="AU7" s="6"/>
      <c r="AV7" s="5"/>
      <c r="AW7" s="5"/>
      <c r="AX7" s="5"/>
      <c r="AY7" s="5"/>
      <c r="AZ7" s="5"/>
      <c r="BA7" s="5"/>
      <c r="BB7" s="5"/>
      <c r="BC7" s="5"/>
      <c r="BD7" s="5"/>
    </row>
    <row r="8" spans="1:56">
      <c r="A8" t="s">
        <v>27</v>
      </c>
      <c r="B8" t="s">
        <v>37</v>
      </c>
      <c r="C8">
        <v>115</v>
      </c>
      <c r="D8">
        <v>40296</v>
      </c>
      <c r="E8" t="s">
        <v>47</v>
      </c>
      <c r="F8" t="s">
        <v>48</v>
      </c>
      <c r="G8">
        <v>0</v>
      </c>
      <c r="H8">
        <v>332.28</v>
      </c>
      <c r="I8">
        <v>0</v>
      </c>
      <c r="J8">
        <v>0</v>
      </c>
      <c r="K8">
        <v>-3</v>
      </c>
      <c r="L8">
        <v>0</v>
      </c>
      <c r="M8">
        <v>0</v>
      </c>
      <c r="N8">
        <v>-329.28</v>
      </c>
      <c r="O8">
        <v>0</v>
      </c>
      <c r="P8">
        <v>-12</v>
      </c>
      <c r="Q8">
        <v>30.6200030068842</v>
      </c>
      <c r="R8">
        <v>186</v>
      </c>
      <c r="S8">
        <v>4500.71052631579</v>
      </c>
      <c r="T8">
        <v>0</v>
      </c>
      <c r="U8">
        <v>5695.3205592804698</v>
      </c>
      <c r="V8">
        <v>1194.6100329646799</v>
      </c>
      <c r="W8">
        <v>-83.699051791501702</v>
      </c>
      <c r="X8">
        <v>38.911578947368298</v>
      </c>
      <c r="Y8">
        <v>0</v>
      </c>
      <c r="Z8">
        <v>-44.787472844133397</v>
      </c>
      <c r="AA8">
        <v>1788.2010933951765</v>
      </c>
      <c r="AN8" s="5"/>
      <c r="AO8" s="5"/>
      <c r="AP8" s="5"/>
      <c r="AQ8" s="5"/>
      <c r="AR8" s="5"/>
      <c r="AS8" s="5"/>
      <c r="AT8" s="5"/>
      <c r="AU8" s="6"/>
      <c r="AV8" s="5"/>
      <c r="AW8" s="5"/>
      <c r="AX8" s="5"/>
      <c r="AY8" s="5"/>
      <c r="AZ8" s="5"/>
      <c r="BA8" s="5"/>
      <c r="BB8" s="5"/>
      <c r="BC8" s="5"/>
      <c r="BD8" s="5"/>
    </row>
    <row r="9" spans="1:56">
      <c r="A9" t="s">
        <v>27</v>
      </c>
      <c r="B9" t="s">
        <v>37</v>
      </c>
      <c r="C9">
        <v>126</v>
      </c>
      <c r="D9">
        <v>40312</v>
      </c>
      <c r="E9" t="s">
        <v>45</v>
      </c>
      <c r="F9" t="s">
        <v>49</v>
      </c>
      <c r="G9">
        <v>0</v>
      </c>
      <c r="H9">
        <v>2457.06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2457.06</v>
      </c>
      <c r="P9">
        <v>-186</v>
      </c>
      <c r="Q9">
        <v>27.48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-2043.6505263157901</v>
      </c>
      <c r="Y9">
        <v>0</v>
      </c>
      <c r="Z9">
        <v>-2043.6505263157901</v>
      </c>
      <c r="AA9">
        <v>-255.44943292061362</v>
      </c>
    </row>
    <row r="10" spans="1:56">
      <c r="A10" t="s">
        <v>27</v>
      </c>
      <c r="B10" t="s">
        <v>37</v>
      </c>
      <c r="C10">
        <v>4</v>
      </c>
      <c r="D10">
        <v>40283</v>
      </c>
      <c r="E10" t="s">
        <v>45</v>
      </c>
      <c r="F10" t="s">
        <v>46</v>
      </c>
      <c r="G10">
        <v>0</v>
      </c>
      <c r="H10">
        <v>936</v>
      </c>
      <c r="I10">
        <v>0</v>
      </c>
      <c r="J10">
        <v>0</v>
      </c>
      <c r="K10">
        <v>-9</v>
      </c>
      <c r="L10">
        <v>0</v>
      </c>
      <c r="M10">
        <v>0</v>
      </c>
      <c r="N10">
        <v>0</v>
      </c>
      <c r="O10">
        <v>927</v>
      </c>
      <c r="P10">
        <v>-30</v>
      </c>
      <c r="Q10">
        <v>31.069997908989102</v>
      </c>
      <c r="R10">
        <v>198</v>
      </c>
      <c r="S10">
        <v>4791.0789473684199</v>
      </c>
      <c r="T10">
        <v>0</v>
      </c>
      <c r="U10">
        <v>6151.8595859798497</v>
      </c>
      <c r="V10">
        <v>1360.78063861142</v>
      </c>
      <c r="W10">
        <v>188.09936889897801</v>
      </c>
      <c r="X10">
        <v>201.07894736842101</v>
      </c>
      <c r="Y10">
        <v>0</v>
      </c>
      <c r="Z10">
        <v>389.178316267399</v>
      </c>
      <c r="AA10">
        <v>1832.9885662393101</v>
      </c>
    </row>
    <row r="12" spans="1:56">
      <c r="A12" s="11" t="s">
        <v>112</v>
      </c>
    </row>
    <row r="14" spans="1:56">
      <c r="A14" s="9" t="s">
        <v>87</v>
      </c>
      <c r="H14" s="9" t="s">
        <v>88</v>
      </c>
      <c r="L14" s="7"/>
      <c r="N14" s="9" t="s">
        <v>75</v>
      </c>
      <c r="S14" s="9" t="s">
        <v>78</v>
      </c>
      <c r="X14" s="7">
        <v>0</v>
      </c>
    </row>
    <row r="15" spans="1:56">
      <c r="A15" t="s">
        <v>84</v>
      </c>
      <c r="F15" s="7">
        <f>+V6</f>
        <v>1350.36024997191</v>
      </c>
      <c r="G15">
        <f>+V6</f>
        <v>1350.36024997191</v>
      </c>
      <c r="H15" t="s">
        <v>89</v>
      </c>
      <c r="L15" s="10">
        <v>0</v>
      </c>
      <c r="N15" t="s">
        <v>91</v>
      </c>
      <c r="Q15" s="7">
        <f>+S6</f>
        <v>5517</v>
      </c>
      <c r="R15">
        <f>+S6</f>
        <v>5517</v>
      </c>
      <c r="S15" t="s">
        <v>93</v>
      </c>
      <c r="X15" s="7">
        <f>+-Q16</f>
        <v>725.92105263157896</v>
      </c>
    </row>
    <row r="16" spans="1:56">
      <c r="A16" t="s">
        <v>95</v>
      </c>
      <c r="F16" s="12">
        <f>+R7*(Q7-Q6)</f>
        <v>188.09936889897813</v>
      </c>
      <c r="G16" s="8">
        <f>+W7</f>
        <v>188.09936889897801</v>
      </c>
      <c r="H16" t="s">
        <v>77</v>
      </c>
      <c r="L16" s="7">
        <f>+O7+P7/(R7-P7)*S6</f>
        <v>201.07894736842104</v>
      </c>
      <c r="M16">
        <f>+X7</f>
        <v>201.07894736842101</v>
      </c>
      <c r="N16" t="s">
        <v>92</v>
      </c>
      <c r="Q16" s="7">
        <f>+P7/(R7-P7)*S6</f>
        <v>-725.92105263157896</v>
      </c>
      <c r="S16" t="s">
        <v>85</v>
      </c>
      <c r="X16" s="7">
        <f>+-F18</f>
        <v>177.67898025946184</v>
      </c>
    </row>
    <row r="17" spans="1:25">
      <c r="A17" t="s">
        <v>96</v>
      </c>
      <c r="F17" s="7">
        <f>+O7-(-P7/(R7-P7)*U6)</f>
        <v>23.399967108959231</v>
      </c>
      <c r="H17" t="s">
        <v>94</v>
      </c>
      <c r="L17" s="7">
        <f>+L15+L16</f>
        <v>201.07894736842104</v>
      </c>
      <c r="N17" t="s">
        <v>79</v>
      </c>
      <c r="Q17" s="7">
        <f>+SUM(Q15:Q16)</f>
        <v>4791.0789473684208</v>
      </c>
      <c r="R17">
        <f>+S7</f>
        <v>4791.0789473684199</v>
      </c>
      <c r="S17" t="s">
        <v>97</v>
      </c>
      <c r="X17" s="7">
        <f>+-F19</f>
        <v>23.399967108959231</v>
      </c>
    </row>
    <row r="18" spans="1:25">
      <c r="A18" t="s">
        <v>106</v>
      </c>
      <c r="F18" s="7">
        <f>+P7/(R7-P7)*V6</f>
        <v>-177.67898025946184</v>
      </c>
      <c r="G18" s="11" t="s">
        <v>99</v>
      </c>
      <c r="L18" s="7"/>
      <c r="Q18" s="7"/>
      <c r="X18" s="7">
        <f>+SUM(X14:X17)</f>
        <v>927</v>
      </c>
      <c r="Y18">
        <f>+O7</f>
        <v>927</v>
      </c>
    </row>
    <row r="19" spans="1:25">
      <c r="A19" t="s">
        <v>97</v>
      </c>
      <c r="F19" s="7">
        <f>+-F17</f>
        <v>-23.399967108959231</v>
      </c>
      <c r="L19" s="7"/>
      <c r="Q19" s="7"/>
      <c r="X19" s="7"/>
    </row>
    <row r="20" spans="1:25">
      <c r="A20" t="s">
        <v>86</v>
      </c>
      <c r="F20" s="7">
        <f>+SUM(F15:F19)</f>
        <v>1360.7806386114262</v>
      </c>
      <c r="G20">
        <f>+V7</f>
        <v>1360.78063861142</v>
      </c>
      <c r="H20" t="s">
        <v>90</v>
      </c>
      <c r="L20" s="7"/>
      <c r="Q20" s="7"/>
      <c r="X20" s="7"/>
    </row>
    <row r="21" spans="1:25">
      <c r="A21" s="11" t="s">
        <v>100</v>
      </c>
      <c r="F21" s="7"/>
      <c r="L21" s="7"/>
      <c r="Q21" s="7"/>
    </row>
    <row r="23" spans="1:25">
      <c r="A23" t="s">
        <v>98</v>
      </c>
      <c r="F23">
        <v>1.5</v>
      </c>
    </row>
    <row r="24" spans="1:25">
      <c r="A24" s="11" t="s">
        <v>113</v>
      </c>
    </row>
    <row r="25" spans="1:25">
      <c r="A25" t="s">
        <v>84</v>
      </c>
      <c r="F25" s="13">
        <f>+V3</f>
        <v>161.079695227863</v>
      </c>
    </row>
    <row r="26" spans="1:25">
      <c r="A26" t="s">
        <v>101</v>
      </c>
      <c r="F26" s="13">
        <f>+R3*F23*(Q4-Q3/F23)</f>
        <v>801.36035665003374</v>
      </c>
      <c r="G26" s="14"/>
      <c r="H26" s="7" t="s">
        <v>119</v>
      </c>
    </row>
    <row r="27" spans="1:25">
      <c r="A27" t="s">
        <v>102</v>
      </c>
      <c r="F27" s="13">
        <f>+O4+P4*Q4</f>
        <v>-20.19998147218007</v>
      </c>
      <c r="G27" s="14"/>
    </row>
    <row r="28" spans="1:25">
      <c r="A28" t="s">
        <v>103</v>
      </c>
      <c r="F28" s="13">
        <f>+F25+F26+F27</f>
        <v>942.24007040571666</v>
      </c>
    </row>
    <row r="30" spans="1:25">
      <c r="A30" s="11" t="s">
        <v>114</v>
      </c>
    </row>
    <row r="31" spans="1:25">
      <c r="A31" t="s">
        <v>84</v>
      </c>
      <c r="F31" s="13">
        <f>+V3</f>
        <v>161.079695227863</v>
      </c>
      <c r="H31" s="13"/>
    </row>
    <row r="32" spans="1:25">
      <c r="A32" t="s">
        <v>104</v>
      </c>
      <c r="F32" s="13">
        <f>+R4*(Q4-Q3/F23)</f>
        <v>1087.5604840250458</v>
      </c>
      <c r="G32" s="14"/>
      <c r="H32" s="7" t="s">
        <v>119</v>
      </c>
    </row>
    <row r="33" spans="1:27">
      <c r="A33" t="s">
        <v>105</v>
      </c>
      <c r="F33" s="13">
        <f>+(O4+P4*Q3/F23)</f>
        <v>-306.40010884719209</v>
      </c>
      <c r="G33" s="14"/>
    </row>
    <row r="34" spans="1:27">
      <c r="A34" t="s">
        <v>103</v>
      </c>
      <c r="F34" s="13">
        <f>+SUM(F31:F33)</f>
        <v>942.24007040571655</v>
      </c>
    </row>
    <row r="37" spans="1:27">
      <c r="A37" s="9" t="s">
        <v>110</v>
      </c>
    </row>
    <row r="38" spans="1:27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6</v>
      </c>
      <c r="H38" t="s">
        <v>7</v>
      </c>
      <c r="I38" t="s">
        <v>8</v>
      </c>
      <c r="J38" t="s">
        <v>9</v>
      </c>
      <c r="K38" t="s">
        <v>10</v>
      </c>
      <c r="L38" t="s">
        <v>11</v>
      </c>
      <c r="M38" t="s">
        <v>12</v>
      </c>
      <c r="N38" t="s">
        <v>13</v>
      </c>
      <c r="O38" t="s">
        <v>14</v>
      </c>
      <c r="P38" t="s">
        <v>15</v>
      </c>
      <c r="Q38" t="s">
        <v>16</v>
      </c>
      <c r="R38" t="s">
        <v>17</v>
      </c>
      <c r="S38" t="s">
        <v>18</v>
      </c>
      <c r="T38" t="s">
        <v>19</v>
      </c>
      <c r="U38" t="s">
        <v>20</v>
      </c>
      <c r="V38" t="s">
        <v>21</v>
      </c>
      <c r="W38" t="s">
        <v>22</v>
      </c>
      <c r="X38" t="s">
        <v>23</v>
      </c>
      <c r="Y38" t="s">
        <v>24</v>
      </c>
      <c r="Z38" t="s">
        <v>25</v>
      </c>
      <c r="AA38" t="s">
        <v>26</v>
      </c>
    </row>
    <row r="39" spans="1:27">
      <c r="A39" t="s">
        <v>27</v>
      </c>
      <c r="B39" t="s">
        <v>50</v>
      </c>
      <c r="C39">
        <v>89</v>
      </c>
      <c r="D39" s="1">
        <v>40219</v>
      </c>
      <c r="E39" t="s">
        <v>51</v>
      </c>
      <c r="F39" t="s">
        <v>52</v>
      </c>
      <c r="G39">
        <v>0</v>
      </c>
      <c r="H39">
        <v>0</v>
      </c>
      <c r="I39">
        <v>162.18</v>
      </c>
      <c r="J39">
        <v>0</v>
      </c>
      <c r="K39">
        <v>-11</v>
      </c>
      <c r="L39">
        <v>0</v>
      </c>
      <c r="M39">
        <v>0</v>
      </c>
      <c r="N39">
        <v>0</v>
      </c>
      <c r="O39">
        <v>151.18</v>
      </c>
      <c r="P39">
        <v>-51</v>
      </c>
      <c r="Q39">
        <v>3.2</v>
      </c>
      <c r="R39">
        <v>-51</v>
      </c>
      <c r="S39">
        <v>0</v>
      </c>
      <c r="T39">
        <v>-151.18</v>
      </c>
      <c r="U39">
        <v>-163.19999999999999</v>
      </c>
      <c r="V39">
        <v>-12.02</v>
      </c>
      <c r="W39">
        <v>-12.02</v>
      </c>
      <c r="X39">
        <v>0</v>
      </c>
      <c r="Y39">
        <v>0</v>
      </c>
      <c r="Z39">
        <v>-12.02</v>
      </c>
      <c r="AA39">
        <v>-12.02</v>
      </c>
    </row>
    <row r="40" spans="1:27">
      <c r="A40" t="s">
        <v>27</v>
      </c>
      <c r="B40" t="s">
        <v>50</v>
      </c>
      <c r="C40">
        <v>16</v>
      </c>
      <c r="D40" s="1">
        <v>40252</v>
      </c>
      <c r="E40" t="s">
        <v>51</v>
      </c>
      <c r="F40" t="s">
        <v>53</v>
      </c>
      <c r="G40">
        <v>0</v>
      </c>
      <c r="H40">
        <v>0</v>
      </c>
      <c r="I40">
        <v>304.2</v>
      </c>
      <c r="J40">
        <v>0</v>
      </c>
      <c r="K40">
        <v>-19</v>
      </c>
      <c r="L40">
        <v>0</v>
      </c>
      <c r="M40">
        <v>0</v>
      </c>
      <c r="N40">
        <v>0</v>
      </c>
      <c r="O40">
        <v>285.2</v>
      </c>
      <c r="P40">
        <v>-78</v>
      </c>
      <c r="Q40">
        <v>3.8899999809389998</v>
      </c>
      <c r="R40">
        <v>-129</v>
      </c>
      <c r="S40">
        <v>0</v>
      </c>
      <c r="T40">
        <v>-436.38</v>
      </c>
      <c r="U40">
        <v>-501.809997541131</v>
      </c>
      <c r="V40">
        <v>-65.429997541131002</v>
      </c>
      <c r="W40">
        <v>-53.409997541130998</v>
      </c>
      <c r="X40">
        <v>0</v>
      </c>
      <c r="Y40">
        <v>0</v>
      </c>
      <c r="Z40">
        <v>-53.409997541130998</v>
      </c>
      <c r="AA40">
        <v>-65.429997541131002</v>
      </c>
    </row>
    <row r="41" spans="1:27">
      <c r="A41" t="s">
        <v>27</v>
      </c>
      <c r="B41" t="s">
        <v>50</v>
      </c>
      <c r="C41">
        <v>92</v>
      </c>
      <c r="D41" s="1">
        <v>40268</v>
      </c>
      <c r="E41" t="s">
        <v>43</v>
      </c>
      <c r="F41" t="s">
        <v>54</v>
      </c>
      <c r="G41">
        <v>0</v>
      </c>
      <c r="H41">
        <v>0</v>
      </c>
      <c r="I41">
        <v>-12.27</v>
      </c>
      <c r="J41">
        <v>0</v>
      </c>
      <c r="K41">
        <v>0</v>
      </c>
      <c r="L41">
        <v>0</v>
      </c>
      <c r="M41">
        <v>0</v>
      </c>
      <c r="N41">
        <v>0</v>
      </c>
      <c r="O41">
        <v>-12.27</v>
      </c>
      <c r="P41">
        <v>0</v>
      </c>
      <c r="Q41">
        <v>4.0500000040500002</v>
      </c>
      <c r="R41">
        <v>-129</v>
      </c>
      <c r="S41">
        <v>0</v>
      </c>
      <c r="T41">
        <v>-424.11</v>
      </c>
      <c r="U41">
        <v>-522.45000052244995</v>
      </c>
      <c r="V41">
        <v>-98.340000522449998</v>
      </c>
      <c r="W41">
        <v>-32.910002981318897</v>
      </c>
      <c r="X41">
        <v>0</v>
      </c>
      <c r="Y41">
        <v>0</v>
      </c>
      <c r="Z41">
        <v>-32.910002981318897</v>
      </c>
      <c r="AA41">
        <v>-98.340000522449998</v>
      </c>
    </row>
    <row r="42" spans="1:27">
      <c r="A42" t="s">
        <v>27</v>
      </c>
      <c r="B42" t="s">
        <v>50</v>
      </c>
      <c r="C42">
        <v>96</v>
      </c>
      <c r="D42" s="1">
        <v>40296</v>
      </c>
      <c r="E42" t="s">
        <v>55</v>
      </c>
      <c r="F42" t="s">
        <v>56</v>
      </c>
      <c r="G42">
        <v>0</v>
      </c>
      <c r="H42">
        <v>0</v>
      </c>
      <c r="I42">
        <v>0</v>
      </c>
      <c r="J42">
        <v>-156.31</v>
      </c>
      <c r="K42">
        <v>-9</v>
      </c>
      <c r="L42">
        <v>0</v>
      </c>
      <c r="M42">
        <v>0</v>
      </c>
      <c r="N42">
        <v>0</v>
      </c>
      <c r="O42">
        <v>-165.31</v>
      </c>
      <c r="P42">
        <v>36</v>
      </c>
      <c r="Q42">
        <v>4.4500000222500002</v>
      </c>
      <c r="R42">
        <v>-93</v>
      </c>
      <c r="S42">
        <v>0</v>
      </c>
      <c r="T42">
        <v>-305.75372093023202</v>
      </c>
      <c r="U42">
        <v>-413.85000206925002</v>
      </c>
      <c r="V42">
        <v>-108.09628113901699</v>
      </c>
      <c r="W42">
        <v>-37.200001692599997</v>
      </c>
      <c r="X42">
        <v>-46.9537209302325</v>
      </c>
      <c r="Y42">
        <v>0</v>
      </c>
      <c r="Z42">
        <v>-84.153722622832504</v>
      </c>
      <c r="AA42">
        <v>-155.05000206925001</v>
      </c>
    </row>
    <row r="47" spans="1:27">
      <c r="A47" s="11" t="s">
        <v>115</v>
      </c>
    </row>
    <row r="48" spans="1:27">
      <c r="A48" s="9" t="s">
        <v>87</v>
      </c>
      <c r="H48" s="9" t="s">
        <v>88</v>
      </c>
      <c r="L48" s="7"/>
      <c r="N48" s="9" t="s">
        <v>76</v>
      </c>
      <c r="S48" s="9" t="s">
        <v>78</v>
      </c>
      <c r="X48" s="7">
        <v>0</v>
      </c>
    </row>
    <row r="49" spans="1:25">
      <c r="A49" t="s">
        <v>84</v>
      </c>
      <c r="F49" s="7">
        <f>+V41</f>
        <v>-98.340000522449998</v>
      </c>
      <c r="G49">
        <f>+V41</f>
        <v>-98.340000522449998</v>
      </c>
      <c r="H49" t="s">
        <v>89</v>
      </c>
      <c r="L49" s="10">
        <v>0</v>
      </c>
      <c r="N49" t="s">
        <v>108</v>
      </c>
      <c r="Q49" s="7">
        <f>+T41</f>
        <v>-424.11</v>
      </c>
      <c r="R49">
        <f>+S41</f>
        <v>0</v>
      </c>
      <c r="S49" t="s">
        <v>93</v>
      </c>
      <c r="X49" s="7">
        <f>+-Q50</f>
        <v>-118.35627906976744</v>
      </c>
    </row>
    <row r="50" spans="1:25">
      <c r="A50" t="s">
        <v>95</v>
      </c>
      <c r="F50" s="12">
        <f>+R42*(Q42-Q41)</f>
        <v>-37.200001692600011</v>
      </c>
      <c r="G50" s="8">
        <f>+W42</f>
        <v>-37.200001692599997</v>
      </c>
      <c r="H50" t="s">
        <v>77</v>
      </c>
      <c r="L50" s="7">
        <f>+O42+P42/(R42-P42)*T41</f>
        <v>-46.953720930232564</v>
      </c>
      <c r="M50">
        <f>+X42</f>
        <v>-46.9537209302325</v>
      </c>
      <c r="N50" t="s">
        <v>92</v>
      </c>
      <c r="Q50" s="7">
        <f>+P42/(R42-P42)*T41</f>
        <v>118.35627906976744</v>
      </c>
      <c r="S50" t="s">
        <v>85</v>
      </c>
      <c r="X50" s="7">
        <f>+-F52</f>
        <v>-27.443721076032556</v>
      </c>
    </row>
    <row r="51" spans="1:25">
      <c r="A51" t="s">
        <v>96</v>
      </c>
      <c r="F51" s="7">
        <f>+O42-(-P42/(R42-P42)*U41)</f>
        <v>-19.509999854200004</v>
      </c>
      <c r="H51" t="s">
        <v>94</v>
      </c>
      <c r="L51" s="7">
        <f>+L49+L50</f>
        <v>-46.953720930232564</v>
      </c>
      <c r="N51" t="s">
        <v>109</v>
      </c>
      <c r="Q51" s="7">
        <f>+SUM(Q49:Q50)</f>
        <v>-305.75372093023259</v>
      </c>
      <c r="R51">
        <f>+T42</f>
        <v>-305.75372093023202</v>
      </c>
      <c r="S51" t="s">
        <v>97</v>
      </c>
      <c r="X51" s="7">
        <f>+-F53</f>
        <v>-19.509999854200004</v>
      </c>
    </row>
    <row r="52" spans="1:25">
      <c r="A52" t="s">
        <v>106</v>
      </c>
      <c r="F52" s="7">
        <f>+P42/(R42-P42)*V41</f>
        <v>27.443721076032556</v>
      </c>
      <c r="G52" t="s">
        <v>99</v>
      </c>
      <c r="L52" s="7"/>
      <c r="Q52" s="7"/>
      <c r="X52" s="7">
        <f>+SUM(X48:X51)</f>
        <v>-165.31</v>
      </c>
      <c r="Y52">
        <f>+O42</f>
        <v>-165.31</v>
      </c>
    </row>
    <row r="53" spans="1:25">
      <c r="A53" t="s">
        <v>97</v>
      </c>
      <c r="F53" s="7">
        <f>+-F51</f>
        <v>19.509999854200004</v>
      </c>
      <c r="L53" s="7"/>
      <c r="Q53" s="7"/>
      <c r="X53" s="7"/>
    </row>
    <row r="54" spans="1:25">
      <c r="A54" t="s">
        <v>86</v>
      </c>
      <c r="F54" s="7">
        <f>+SUM(F49:F53)</f>
        <v>-108.09628113901745</v>
      </c>
      <c r="G54">
        <f>+V42</f>
        <v>-108.09628113901699</v>
      </c>
      <c r="H54" t="s">
        <v>90</v>
      </c>
      <c r="L54" s="7"/>
      <c r="Q54" s="7"/>
      <c r="X54" s="7"/>
    </row>
    <row r="55" spans="1:25">
      <c r="A55" s="11" t="s">
        <v>100</v>
      </c>
    </row>
    <row r="57" spans="1:25">
      <c r="A57" t="s">
        <v>98</v>
      </c>
      <c r="F57">
        <v>1</v>
      </c>
    </row>
    <row r="58" spans="1:25">
      <c r="A58" s="11" t="s">
        <v>116</v>
      </c>
      <c r="F58" s="13"/>
    </row>
    <row r="59" spans="1:25">
      <c r="A59" t="s">
        <v>84</v>
      </c>
      <c r="F59">
        <f>+V39</f>
        <v>-12.02</v>
      </c>
    </row>
    <row r="60" spans="1:25">
      <c r="A60" t="s">
        <v>101</v>
      </c>
      <c r="F60" s="7">
        <f>+R39*(Q40-Q39/$F$57)</f>
        <v>-35.18999902788898</v>
      </c>
      <c r="G60" s="14"/>
      <c r="H60" s="7" t="s">
        <v>119</v>
      </c>
    </row>
    <row r="61" spans="1:25">
      <c r="A61" t="s">
        <v>118</v>
      </c>
      <c r="F61">
        <f>+O40+P40*Q40</f>
        <v>-18.21999851324199</v>
      </c>
      <c r="G61" s="14"/>
    </row>
    <row r="62" spans="1:25">
      <c r="A62" t="s">
        <v>103</v>
      </c>
      <c r="F62" s="13">
        <f>+F59+F60+F61</f>
        <v>-65.429997541130973</v>
      </c>
      <c r="G62" s="7">
        <f>+V40</f>
        <v>-65.429997541131002</v>
      </c>
    </row>
    <row r="64" spans="1:25">
      <c r="A64" s="11" t="s">
        <v>117</v>
      </c>
      <c r="F64" s="13"/>
    </row>
    <row r="65" spans="1:8">
      <c r="A65" t="s">
        <v>84</v>
      </c>
      <c r="F65" s="13">
        <f>+V39</f>
        <v>-12.02</v>
      </c>
    </row>
    <row r="66" spans="1:8">
      <c r="A66" t="s">
        <v>104</v>
      </c>
      <c r="F66" s="13">
        <f>+R40*(Q40-Q39/F57)</f>
        <v>-89.009997541130957</v>
      </c>
      <c r="G66" s="14"/>
      <c r="H66" s="7" t="s">
        <v>119</v>
      </c>
    </row>
    <row r="67" spans="1:8">
      <c r="A67" t="s">
        <v>107</v>
      </c>
      <c r="F67" s="13">
        <f>+(O40+P40*Q39/F57)</f>
        <v>35.599999999999966</v>
      </c>
      <c r="G67" s="14"/>
    </row>
    <row r="68" spans="1:8">
      <c r="A68" t="s">
        <v>103</v>
      </c>
      <c r="F68" s="13">
        <f>+SUM(F65:F67)</f>
        <v>-65.429997541130987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718"/>
  <sheetViews>
    <sheetView zoomScale="70" zoomScaleNormal="70" workbookViewId="0">
      <selection activeCell="C2" sqref="C2"/>
    </sheetView>
  </sheetViews>
  <sheetFormatPr defaultRowHeight="15"/>
  <cols>
    <col min="1" max="1" width="15.7109375" bestFit="1" customWidth="1"/>
    <col min="2" max="2" width="26.28515625" bestFit="1" customWidth="1"/>
    <col min="3" max="3" width="15.7109375" bestFit="1" customWidth="1"/>
    <col min="4" max="4" width="28.85546875" bestFit="1" customWidth="1"/>
    <col min="5" max="5" width="12" bestFit="1" customWidth="1"/>
  </cols>
  <sheetData>
    <row r="1" spans="1:8">
      <c r="A1" t="s">
        <v>120</v>
      </c>
    </row>
    <row r="3" spans="1:8">
      <c r="A3" t="s">
        <v>121</v>
      </c>
      <c r="B3" t="s">
        <v>177</v>
      </c>
      <c r="C3" t="s">
        <v>122</v>
      </c>
      <c r="D3" t="s">
        <v>179</v>
      </c>
      <c r="E3" t="s">
        <v>124</v>
      </c>
      <c r="F3" t="s">
        <v>125</v>
      </c>
    </row>
    <row r="4" spans="1:8">
      <c r="A4" t="s">
        <v>126</v>
      </c>
      <c r="B4">
        <v>20090601</v>
      </c>
      <c r="C4" t="s">
        <v>127</v>
      </c>
      <c r="D4">
        <v>20100601</v>
      </c>
    </row>
    <row r="5" spans="1:8">
      <c r="A5" t="s">
        <v>128</v>
      </c>
      <c r="B5">
        <v>0</v>
      </c>
      <c r="C5" t="s">
        <v>129</v>
      </c>
      <c r="D5">
        <v>10.08</v>
      </c>
      <c r="E5" t="s">
        <v>130</v>
      </c>
      <c r="F5">
        <v>0</v>
      </c>
    </row>
    <row r="6" spans="1:8">
      <c r="A6" t="s">
        <v>131</v>
      </c>
      <c r="B6">
        <v>21.172999999999998</v>
      </c>
      <c r="C6" t="s">
        <v>132</v>
      </c>
      <c r="D6">
        <v>10.58</v>
      </c>
      <c r="E6" t="s">
        <v>133</v>
      </c>
      <c r="F6">
        <v>224.01033999999899</v>
      </c>
    </row>
    <row r="7" spans="1:8">
      <c r="A7" t="s">
        <v>134</v>
      </c>
      <c r="B7">
        <v>0</v>
      </c>
      <c r="C7" t="s">
        <v>135</v>
      </c>
      <c r="D7">
        <v>-223.98999999999899</v>
      </c>
      <c r="E7" t="s">
        <v>136</v>
      </c>
      <c r="F7">
        <v>0</v>
      </c>
    </row>
    <row r="8" spans="1:8">
      <c r="A8" t="s">
        <v>137</v>
      </c>
      <c r="B8">
        <v>223.98999999999899</v>
      </c>
      <c r="C8" t="s">
        <v>138</v>
      </c>
      <c r="D8">
        <v>0</v>
      </c>
      <c r="E8" t="s">
        <v>139</v>
      </c>
      <c r="F8">
        <v>0</v>
      </c>
      <c r="G8" t="s">
        <v>140</v>
      </c>
      <c r="H8">
        <v>0</v>
      </c>
    </row>
    <row r="9" spans="1:8">
      <c r="A9" t="s">
        <v>141</v>
      </c>
      <c r="B9">
        <v>0</v>
      </c>
      <c r="C9" t="s">
        <v>142</v>
      </c>
      <c r="D9">
        <v>0</v>
      </c>
    </row>
    <row r="10" spans="1:8">
      <c r="A10" t="s">
        <v>143</v>
      </c>
      <c r="B10">
        <v>223.98999999999899</v>
      </c>
      <c r="C10" t="s">
        <v>144</v>
      </c>
      <c r="D10">
        <v>0</v>
      </c>
    </row>
    <row r="11" spans="1:8">
      <c r="A11" t="s">
        <v>145</v>
      </c>
      <c r="B11">
        <v>0</v>
      </c>
      <c r="C11" t="s">
        <v>146</v>
      </c>
      <c r="D11">
        <v>2.03400000000044E-2</v>
      </c>
      <c r="E11" t="s">
        <v>169</v>
      </c>
      <c r="F11">
        <v>2.03400000000044E-2</v>
      </c>
    </row>
    <row r="12" spans="1:8">
      <c r="A12" t="s">
        <v>147</v>
      </c>
    </row>
    <row r="14" spans="1:8">
      <c r="A14" t="s">
        <v>148</v>
      </c>
      <c r="C14" t="s">
        <v>149</v>
      </c>
      <c r="E14" t="s">
        <v>150</v>
      </c>
    </row>
    <row r="15" spans="1:8">
      <c r="A15" t="s">
        <v>3</v>
      </c>
      <c r="B15" t="s">
        <v>151</v>
      </c>
      <c r="C15" t="s">
        <v>3</v>
      </c>
      <c r="D15" t="s">
        <v>151</v>
      </c>
      <c r="E15" t="s">
        <v>3</v>
      </c>
      <c r="F15" t="s">
        <v>151</v>
      </c>
    </row>
    <row r="16" spans="1:8">
      <c r="A16" s="1">
        <v>40248</v>
      </c>
      <c r="B16">
        <v>-223.98999999999899</v>
      </c>
      <c r="C16" s="1">
        <v>40248</v>
      </c>
      <c r="D16">
        <v>223.98999999999899</v>
      </c>
      <c r="E16" s="1">
        <v>40248</v>
      </c>
      <c r="F16">
        <v>0</v>
      </c>
    </row>
    <row r="17" spans="1:8">
      <c r="A17" s="1">
        <v>40330</v>
      </c>
      <c r="B17">
        <v>0</v>
      </c>
      <c r="C17" s="1">
        <v>40330</v>
      </c>
      <c r="D17">
        <v>0</v>
      </c>
    </row>
    <row r="19" spans="1:8">
      <c r="A19" t="s">
        <v>152</v>
      </c>
      <c r="B19" s="23">
        <v>9.0807625340436903E-5</v>
      </c>
      <c r="C19" t="s">
        <v>153</v>
      </c>
      <c r="D19" s="23">
        <v>4.0426801674708901E-4</v>
      </c>
    </row>
    <row r="22" spans="1:8">
      <c r="A22" t="s">
        <v>120</v>
      </c>
    </row>
    <row r="24" spans="1:8">
      <c r="A24" t="s">
        <v>121</v>
      </c>
      <c r="B24" t="s">
        <v>176</v>
      </c>
      <c r="C24" t="s">
        <v>122</v>
      </c>
      <c r="D24" t="s">
        <v>158</v>
      </c>
      <c r="E24" t="s">
        <v>124</v>
      </c>
      <c r="F24" t="s">
        <v>159</v>
      </c>
    </row>
    <row r="25" spans="1:8">
      <c r="A25" t="s">
        <v>126</v>
      </c>
      <c r="B25">
        <v>20090601</v>
      </c>
      <c r="C25" t="s">
        <v>127</v>
      </c>
      <c r="D25">
        <v>20100601</v>
      </c>
    </row>
    <row r="26" spans="1:8">
      <c r="A26" t="s">
        <v>128</v>
      </c>
      <c r="B26">
        <v>0</v>
      </c>
      <c r="C26" t="s">
        <v>129</v>
      </c>
      <c r="D26">
        <v>0</v>
      </c>
      <c r="E26" t="s">
        <v>130</v>
      </c>
      <c r="F26">
        <v>0</v>
      </c>
    </row>
    <row r="27" spans="1:8">
      <c r="A27" t="s">
        <v>131</v>
      </c>
      <c r="B27">
        <v>0</v>
      </c>
      <c r="C27" t="s">
        <v>132</v>
      </c>
      <c r="D27">
        <v>0</v>
      </c>
      <c r="E27" t="s">
        <v>133</v>
      </c>
      <c r="F27">
        <v>224.01033999999899</v>
      </c>
    </row>
    <row r="28" spans="1:8">
      <c r="A28" t="s">
        <v>134</v>
      </c>
      <c r="B28">
        <v>0</v>
      </c>
      <c r="C28" t="s">
        <v>135</v>
      </c>
      <c r="D28">
        <v>-223.98999999999899</v>
      </c>
      <c r="E28" t="s">
        <v>136</v>
      </c>
      <c r="F28">
        <v>1217.6300000000001</v>
      </c>
    </row>
    <row r="29" spans="1:8">
      <c r="A29" t="s">
        <v>137</v>
      </c>
      <c r="B29">
        <v>223.98999999999899</v>
      </c>
      <c r="C29" t="s">
        <v>138</v>
      </c>
      <c r="D29">
        <v>0</v>
      </c>
      <c r="E29" t="s">
        <v>139</v>
      </c>
      <c r="F29">
        <v>0</v>
      </c>
      <c r="G29" t="s">
        <v>140</v>
      </c>
      <c r="H29">
        <v>0</v>
      </c>
    </row>
    <row r="30" spans="1:8">
      <c r="A30" t="s">
        <v>141</v>
      </c>
      <c r="B30">
        <v>0</v>
      </c>
      <c r="C30" t="s">
        <v>142</v>
      </c>
      <c r="D30">
        <v>0</v>
      </c>
    </row>
    <row r="31" spans="1:8">
      <c r="A31" t="s">
        <v>143</v>
      </c>
      <c r="B31">
        <v>223.98999999999899</v>
      </c>
      <c r="C31" t="s">
        <v>144</v>
      </c>
      <c r="D31">
        <v>0</v>
      </c>
    </row>
    <row r="32" spans="1:8">
      <c r="A32" t="s">
        <v>145</v>
      </c>
      <c r="B32">
        <v>0</v>
      </c>
      <c r="C32" t="s">
        <v>146</v>
      </c>
      <c r="D32">
        <v>2.03400000000044E-2</v>
      </c>
      <c r="E32" t="s">
        <v>169</v>
      </c>
      <c r="F32">
        <v>2.03400000000044E-2</v>
      </c>
    </row>
    <row r="33" spans="1:6">
      <c r="A33" t="s">
        <v>147</v>
      </c>
    </row>
    <row r="35" spans="1:6">
      <c r="A35" t="s">
        <v>148</v>
      </c>
      <c r="C35" t="s">
        <v>149</v>
      </c>
      <c r="E35" t="s">
        <v>150</v>
      </c>
    </row>
    <row r="36" spans="1:6">
      <c r="A36" t="s">
        <v>3</v>
      </c>
      <c r="B36" t="s">
        <v>151</v>
      </c>
      <c r="C36" t="s">
        <v>3</v>
      </c>
      <c r="D36" t="s">
        <v>151</v>
      </c>
      <c r="E36" t="s">
        <v>3</v>
      </c>
      <c r="F36" t="s">
        <v>151</v>
      </c>
    </row>
    <row r="37" spans="1:6">
      <c r="A37" s="1">
        <v>40248</v>
      </c>
      <c r="B37">
        <v>-223.98999999999899</v>
      </c>
      <c r="C37" s="1">
        <v>40248</v>
      </c>
      <c r="D37">
        <v>223.98999999999899</v>
      </c>
      <c r="E37" s="1">
        <v>40248</v>
      </c>
      <c r="F37">
        <v>0</v>
      </c>
    </row>
    <row r="38" spans="1:6">
      <c r="A38" s="1">
        <v>40330</v>
      </c>
      <c r="B38">
        <v>0</v>
      </c>
      <c r="C38" s="1">
        <v>40330</v>
      </c>
      <c r="D38">
        <v>0</v>
      </c>
    </row>
    <row r="40" spans="1:6">
      <c r="A40" t="s">
        <v>152</v>
      </c>
      <c r="B40" s="23">
        <v>9.0807625340436903E-5</v>
      </c>
      <c r="C40" t="s">
        <v>153</v>
      </c>
      <c r="D40" s="23">
        <v>4.0426801674708901E-4</v>
      </c>
    </row>
    <row r="43" spans="1:6">
      <c r="A43" t="s">
        <v>120</v>
      </c>
    </row>
    <row r="45" spans="1:6">
      <c r="A45" t="s">
        <v>121</v>
      </c>
      <c r="B45" t="s">
        <v>176</v>
      </c>
      <c r="C45" t="s">
        <v>122</v>
      </c>
      <c r="D45" t="s">
        <v>158</v>
      </c>
      <c r="E45" t="s">
        <v>124</v>
      </c>
      <c r="F45" t="s">
        <v>160</v>
      </c>
    </row>
    <row r="46" spans="1:6">
      <c r="A46" t="s">
        <v>126</v>
      </c>
      <c r="B46">
        <v>20090601</v>
      </c>
      <c r="C46" t="s">
        <v>127</v>
      </c>
      <c r="D46">
        <v>20100601</v>
      </c>
    </row>
    <row r="47" spans="1:6">
      <c r="A47" t="s">
        <v>128</v>
      </c>
      <c r="B47">
        <v>1217.6300000000001</v>
      </c>
      <c r="C47" t="s">
        <v>129</v>
      </c>
      <c r="D47">
        <v>0</v>
      </c>
      <c r="E47" t="s">
        <v>130</v>
      </c>
      <c r="F47">
        <v>1217.6300000000001</v>
      </c>
    </row>
    <row r="48" spans="1:6">
      <c r="A48" t="s">
        <v>131</v>
      </c>
      <c r="B48">
        <v>993.64</v>
      </c>
      <c r="C48" t="s">
        <v>132</v>
      </c>
      <c r="D48">
        <v>0</v>
      </c>
      <c r="E48" t="s">
        <v>133</v>
      </c>
      <c r="F48">
        <v>993.64</v>
      </c>
    </row>
    <row r="49" spans="1:8">
      <c r="A49" t="s">
        <v>134</v>
      </c>
      <c r="B49">
        <v>0</v>
      </c>
      <c r="C49" t="s">
        <v>135</v>
      </c>
      <c r="D49">
        <v>0</v>
      </c>
      <c r="E49" t="s">
        <v>136</v>
      </c>
      <c r="F49">
        <v>1217.6300000000001</v>
      </c>
    </row>
    <row r="50" spans="1:8">
      <c r="A50" t="s">
        <v>137</v>
      </c>
      <c r="B50">
        <v>0</v>
      </c>
      <c r="C50" t="s">
        <v>138</v>
      </c>
      <c r="D50">
        <v>0</v>
      </c>
      <c r="E50" t="s">
        <v>139</v>
      </c>
      <c r="F50">
        <v>0</v>
      </c>
      <c r="G50" t="s">
        <v>140</v>
      </c>
      <c r="H50">
        <v>0</v>
      </c>
    </row>
    <row r="51" spans="1:8">
      <c r="A51" t="s">
        <v>141</v>
      </c>
      <c r="B51">
        <v>0</v>
      </c>
      <c r="C51" t="s">
        <v>142</v>
      </c>
      <c r="D51">
        <v>0</v>
      </c>
    </row>
    <row r="52" spans="1:8">
      <c r="A52" t="s">
        <v>143</v>
      </c>
      <c r="B52">
        <v>0</v>
      </c>
      <c r="C52" t="s">
        <v>144</v>
      </c>
      <c r="D52">
        <v>0</v>
      </c>
    </row>
    <row r="53" spans="1:8">
      <c r="A53" t="s">
        <v>145</v>
      </c>
      <c r="B53">
        <v>0</v>
      </c>
      <c r="C53" t="s">
        <v>146</v>
      </c>
      <c r="D53">
        <v>0</v>
      </c>
      <c r="E53" t="s">
        <v>169</v>
      </c>
      <c r="F53">
        <v>0</v>
      </c>
    </row>
    <row r="54" spans="1:8">
      <c r="A54" t="s">
        <v>147</v>
      </c>
    </row>
    <row r="56" spans="1:8">
      <c r="A56" t="s">
        <v>148</v>
      </c>
      <c r="C56" t="s">
        <v>149</v>
      </c>
      <c r="E56" t="s">
        <v>150</v>
      </c>
    </row>
    <row r="57" spans="1:8">
      <c r="A57" t="s">
        <v>3</v>
      </c>
      <c r="B57" t="s">
        <v>151</v>
      </c>
      <c r="C57" t="s">
        <v>3</v>
      </c>
      <c r="D57" t="s">
        <v>151</v>
      </c>
      <c r="E57" t="s">
        <v>3</v>
      </c>
      <c r="F57" t="s">
        <v>151</v>
      </c>
    </row>
    <row r="58" spans="1:8">
      <c r="A58" s="1">
        <v>40247</v>
      </c>
      <c r="B58">
        <v>-1217.6300000000001</v>
      </c>
      <c r="C58" s="1">
        <v>40247</v>
      </c>
      <c r="D58">
        <v>0</v>
      </c>
    </row>
    <row r="59" spans="1:8">
      <c r="A59" s="1">
        <v>40248</v>
      </c>
      <c r="B59">
        <v>223.98999999999899</v>
      </c>
      <c r="C59" s="1">
        <v>40248</v>
      </c>
      <c r="D59">
        <v>-223.98999999999899</v>
      </c>
    </row>
    <row r="60" spans="1:8">
      <c r="A60" s="1">
        <v>40330</v>
      </c>
      <c r="B60">
        <v>993.64</v>
      </c>
      <c r="C60" s="1">
        <v>40330</v>
      </c>
      <c r="D60">
        <v>0</v>
      </c>
    </row>
    <row r="62" spans="1:8">
      <c r="A62" t="s">
        <v>152</v>
      </c>
      <c r="B62" s="23">
        <v>-2.8526152955967699E-17</v>
      </c>
      <c r="C62" t="s">
        <v>153</v>
      </c>
      <c r="D62" s="23">
        <v>-1.11022302462515E-16</v>
      </c>
    </row>
    <row r="65" spans="1:8">
      <c r="A65" t="s">
        <v>120</v>
      </c>
    </row>
    <row r="67" spans="1:8">
      <c r="A67" t="s">
        <v>121</v>
      </c>
      <c r="B67" t="s">
        <v>176</v>
      </c>
      <c r="C67" t="s">
        <v>122</v>
      </c>
      <c r="D67" t="s">
        <v>158</v>
      </c>
      <c r="E67" t="s">
        <v>124</v>
      </c>
      <c r="F67" t="s">
        <v>161</v>
      </c>
    </row>
    <row r="68" spans="1:8">
      <c r="A68" t="s">
        <v>126</v>
      </c>
      <c r="B68">
        <v>20090601</v>
      </c>
      <c r="C68" t="s">
        <v>127</v>
      </c>
      <c r="D68">
        <v>20100601</v>
      </c>
    </row>
    <row r="69" spans="1:8">
      <c r="A69" t="s">
        <v>128</v>
      </c>
      <c r="B69">
        <v>0</v>
      </c>
      <c r="C69" t="s">
        <v>129</v>
      </c>
      <c r="D69">
        <v>0</v>
      </c>
      <c r="E69" t="s">
        <v>130</v>
      </c>
      <c r="F69">
        <v>1217.6300000000001</v>
      </c>
    </row>
    <row r="70" spans="1:8">
      <c r="A70" t="s">
        <v>131</v>
      </c>
      <c r="B70">
        <v>0</v>
      </c>
      <c r="C70" t="s">
        <v>132</v>
      </c>
      <c r="D70">
        <v>0</v>
      </c>
      <c r="E70" t="s">
        <v>133</v>
      </c>
      <c r="F70">
        <v>1217.6503399999999</v>
      </c>
    </row>
    <row r="71" spans="1:8">
      <c r="A71" t="s">
        <v>134</v>
      </c>
      <c r="B71">
        <v>0</v>
      </c>
      <c r="C71" t="s">
        <v>135</v>
      </c>
      <c r="D71">
        <v>-223.98999999999899</v>
      </c>
      <c r="E71" t="s">
        <v>136</v>
      </c>
      <c r="F71">
        <v>1217.6300000000001</v>
      </c>
    </row>
    <row r="72" spans="1:8">
      <c r="A72" t="s">
        <v>137</v>
      </c>
      <c r="B72">
        <v>223.98999999999899</v>
      </c>
      <c r="C72" t="s">
        <v>138</v>
      </c>
      <c r="D72">
        <v>0</v>
      </c>
      <c r="E72" t="s">
        <v>139</v>
      </c>
      <c r="F72">
        <v>0</v>
      </c>
      <c r="G72" t="s">
        <v>140</v>
      </c>
      <c r="H72">
        <v>0</v>
      </c>
    </row>
    <row r="73" spans="1:8">
      <c r="A73" t="s">
        <v>141</v>
      </c>
      <c r="B73">
        <v>0</v>
      </c>
      <c r="C73" t="s">
        <v>142</v>
      </c>
      <c r="D73">
        <v>0</v>
      </c>
    </row>
    <row r="74" spans="1:8">
      <c r="A74" t="s">
        <v>143</v>
      </c>
      <c r="B74">
        <v>223.98999999999899</v>
      </c>
      <c r="C74" t="s">
        <v>144</v>
      </c>
      <c r="D74">
        <v>0</v>
      </c>
    </row>
    <row r="75" spans="1:8">
      <c r="A75" t="s">
        <v>145</v>
      </c>
      <c r="B75">
        <v>0</v>
      </c>
      <c r="C75" t="s">
        <v>146</v>
      </c>
      <c r="D75">
        <v>2.03400000000044E-2</v>
      </c>
      <c r="E75" t="s">
        <v>169</v>
      </c>
      <c r="F75">
        <v>2.03400000000044E-2</v>
      </c>
    </row>
    <row r="76" spans="1:8">
      <c r="A76" t="s">
        <v>147</v>
      </c>
    </row>
    <row r="78" spans="1:8">
      <c r="A78" t="s">
        <v>148</v>
      </c>
      <c r="C78" t="s">
        <v>149</v>
      </c>
      <c r="E78" t="s">
        <v>150</v>
      </c>
    </row>
    <row r="79" spans="1:8">
      <c r="A79" t="s">
        <v>3</v>
      </c>
      <c r="B79" t="s">
        <v>151</v>
      </c>
      <c r="C79" t="s">
        <v>3</v>
      </c>
      <c r="D79" t="s">
        <v>151</v>
      </c>
      <c r="E79" t="s">
        <v>3</v>
      </c>
      <c r="F79" t="s">
        <v>151</v>
      </c>
    </row>
    <row r="80" spans="1:8">
      <c r="A80" s="1">
        <v>40247</v>
      </c>
      <c r="B80">
        <v>-1217.6300000000001</v>
      </c>
      <c r="C80" s="1">
        <v>40247</v>
      </c>
      <c r="D80">
        <v>0</v>
      </c>
      <c r="E80" s="1">
        <v>40247</v>
      </c>
      <c r="F80">
        <v>0</v>
      </c>
    </row>
    <row r="81" spans="1:8">
      <c r="A81" s="1">
        <v>40248</v>
      </c>
      <c r="B81">
        <v>0</v>
      </c>
      <c r="C81" s="1">
        <v>40248</v>
      </c>
      <c r="D81">
        <v>0</v>
      </c>
      <c r="E81" s="1">
        <v>40248</v>
      </c>
      <c r="F81">
        <v>0</v>
      </c>
    </row>
    <row r="82" spans="1:8">
      <c r="A82" s="1">
        <v>40330</v>
      </c>
      <c r="B82">
        <v>1217.6503399999999</v>
      </c>
      <c r="C82" s="1">
        <v>40330</v>
      </c>
      <c r="D82">
        <v>0</v>
      </c>
      <c r="E82" s="1">
        <v>40330</v>
      </c>
      <c r="F82">
        <v>0</v>
      </c>
    </row>
    <row r="84" spans="1:8">
      <c r="A84" t="s">
        <v>152</v>
      </c>
      <c r="B84" s="23">
        <v>1.6704581851656799E-5</v>
      </c>
      <c r="C84" t="s">
        <v>153</v>
      </c>
      <c r="D84" s="23">
        <v>7.3461992791567997E-5</v>
      </c>
    </row>
    <row r="87" spans="1:8">
      <c r="A87" t="s">
        <v>120</v>
      </c>
    </row>
    <row r="89" spans="1:8">
      <c r="A89" t="s">
        <v>121</v>
      </c>
      <c r="B89" t="s">
        <v>72</v>
      </c>
      <c r="C89" t="s">
        <v>122</v>
      </c>
      <c r="D89" t="s">
        <v>162</v>
      </c>
      <c r="E89" t="s">
        <v>124</v>
      </c>
      <c r="F89" t="s">
        <v>125</v>
      </c>
    </row>
    <row r="90" spans="1:8">
      <c r="A90" t="s">
        <v>126</v>
      </c>
      <c r="B90">
        <v>20090601</v>
      </c>
      <c r="C90" t="s">
        <v>127</v>
      </c>
      <c r="D90">
        <v>20100601</v>
      </c>
    </row>
    <row r="91" spans="1:8">
      <c r="A91" t="s">
        <v>128</v>
      </c>
      <c r="B91">
        <v>0</v>
      </c>
      <c r="C91" t="s">
        <v>129</v>
      </c>
      <c r="D91">
        <v>0</v>
      </c>
      <c r="E91" t="s">
        <v>130</v>
      </c>
      <c r="F91">
        <v>0</v>
      </c>
    </row>
    <row r="92" spans="1:8">
      <c r="A92" t="s">
        <v>131</v>
      </c>
      <c r="B92">
        <v>0</v>
      </c>
      <c r="C92" t="s">
        <v>132</v>
      </c>
      <c r="D92">
        <v>0</v>
      </c>
      <c r="E92" t="s">
        <v>133</v>
      </c>
      <c r="F92">
        <v>0</v>
      </c>
    </row>
    <row r="93" spans="1:8">
      <c r="A93" t="s">
        <v>134</v>
      </c>
      <c r="B93">
        <v>0</v>
      </c>
      <c r="C93" t="s">
        <v>135</v>
      </c>
      <c r="D93">
        <v>0</v>
      </c>
      <c r="E93" t="s">
        <v>136</v>
      </c>
      <c r="F93">
        <v>0</v>
      </c>
    </row>
    <row r="94" spans="1:8">
      <c r="A94" t="s">
        <v>137</v>
      </c>
      <c r="B94">
        <v>0</v>
      </c>
      <c r="C94" t="s">
        <v>138</v>
      </c>
      <c r="D94">
        <v>0</v>
      </c>
      <c r="E94" t="s">
        <v>139</v>
      </c>
      <c r="F94">
        <v>0</v>
      </c>
      <c r="G94" t="s">
        <v>140</v>
      </c>
      <c r="H94">
        <v>0</v>
      </c>
    </row>
    <row r="95" spans="1:8">
      <c r="A95" t="s">
        <v>141</v>
      </c>
      <c r="B95">
        <v>0</v>
      </c>
      <c r="C95" t="s">
        <v>142</v>
      </c>
      <c r="D95">
        <v>0</v>
      </c>
    </row>
    <row r="96" spans="1:8">
      <c r="A96" t="s">
        <v>143</v>
      </c>
      <c r="B96">
        <v>0</v>
      </c>
      <c r="C96" t="s">
        <v>144</v>
      </c>
      <c r="D96">
        <v>0</v>
      </c>
    </row>
    <row r="97" spans="1:6">
      <c r="A97" t="s">
        <v>145</v>
      </c>
      <c r="B97">
        <v>0</v>
      </c>
      <c r="C97" t="s">
        <v>146</v>
      </c>
      <c r="D97">
        <v>0</v>
      </c>
      <c r="E97" t="s">
        <v>169</v>
      </c>
      <c r="F97">
        <v>0</v>
      </c>
    </row>
    <row r="98" spans="1:6">
      <c r="A98" t="s">
        <v>147</v>
      </c>
    </row>
    <row r="100" spans="1:6">
      <c r="A100" t="s">
        <v>148</v>
      </c>
      <c r="C100" t="s">
        <v>149</v>
      </c>
      <c r="E100" t="s">
        <v>150</v>
      </c>
    </row>
    <row r="101" spans="1:6">
      <c r="A101" t="s">
        <v>3</v>
      </c>
      <c r="B101" t="s">
        <v>151</v>
      </c>
      <c r="C101" t="s">
        <v>3</v>
      </c>
      <c r="D101" t="s">
        <v>151</v>
      </c>
      <c r="E101" t="s">
        <v>3</v>
      </c>
      <c r="F101" t="s">
        <v>151</v>
      </c>
    </row>
    <row r="103" spans="1:6">
      <c r="A103" t="s">
        <v>152</v>
      </c>
      <c r="B103">
        <v>0</v>
      </c>
      <c r="C103" t="s">
        <v>153</v>
      </c>
      <c r="D103">
        <v>0</v>
      </c>
    </row>
    <row r="106" spans="1:6">
      <c r="A106" t="s">
        <v>120</v>
      </c>
    </row>
    <row r="108" spans="1:6">
      <c r="A108" t="s">
        <v>121</v>
      </c>
      <c r="B108" t="s">
        <v>50</v>
      </c>
      <c r="C108" t="s">
        <v>122</v>
      </c>
      <c r="D108" t="s">
        <v>123</v>
      </c>
      <c r="E108" t="s">
        <v>124</v>
      </c>
      <c r="F108" t="s">
        <v>125</v>
      </c>
    </row>
    <row r="109" spans="1:6">
      <c r="A109" t="s">
        <v>126</v>
      </c>
      <c r="B109">
        <v>20090601</v>
      </c>
      <c r="C109" t="s">
        <v>127</v>
      </c>
      <c r="D109">
        <v>20100601</v>
      </c>
    </row>
    <row r="110" spans="1:6">
      <c r="A110" t="s">
        <v>128</v>
      </c>
      <c r="B110">
        <v>0</v>
      </c>
      <c r="C110" t="s">
        <v>129</v>
      </c>
      <c r="D110">
        <v>3.2</v>
      </c>
      <c r="E110" t="s">
        <v>130</v>
      </c>
      <c r="F110">
        <v>0</v>
      </c>
    </row>
    <row r="111" spans="1:6">
      <c r="A111" t="s">
        <v>131</v>
      </c>
      <c r="B111">
        <v>-93</v>
      </c>
      <c r="C111" t="s">
        <v>132</v>
      </c>
      <c r="D111">
        <v>3.85</v>
      </c>
      <c r="E111" t="s">
        <v>133</v>
      </c>
      <c r="F111">
        <v>-358.05</v>
      </c>
    </row>
    <row r="112" spans="1:6">
      <c r="A112" t="s">
        <v>134</v>
      </c>
      <c r="B112">
        <v>0</v>
      </c>
      <c r="C112" t="s">
        <v>135</v>
      </c>
      <c r="D112">
        <v>258.8</v>
      </c>
      <c r="E112" t="s">
        <v>136</v>
      </c>
      <c r="F112">
        <v>0</v>
      </c>
    </row>
    <row r="113" spans="1:8">
      <c r="A113" t="s">
        <v>137</v>
      </c>
      <c r="B113">
        <v>0</v>
      </c>
      <c r="C113" t="s">
        <v>138</v>
      </c>
      <c r="D113">
        <v>0</v>
      </c>
      <c r="E113" t="s">
        <v>139</v>
      </c>
      <c r="F113">
        <v>-424.11</v>
      </c>
      <c r="G113" t="s">
        <v>140</v>
      </c>
      <c r="H113">
        <v>165.31</v>
      </c>
    </row>
    <row r="114" spans="1:8">
      <c r="A114" t="s">
        <v>141</v>
      </c>
      <c r="B114">
        <v>0</v>
      </c>
      <c r="C114" t="s">
        <v>142</v>
      </c>
      <c r="D114">
        <v>0</v>
      </c>
    </row>
    <row r="115" spans="1:8">
      <c r="A115" t="s">
        <v>143</v>
      </c>
      <c r="B115">
        <v>0</v>
      </c>
      <c r="C115" t="s">
        <v>144</v>
      </c>
      <c r="D115">
        <v>-305.75372093023202</v>
      </c>
    </row>
    <row r="116" spans="1:8">
      <c r="A116" t="s">
        <v>145</v>
      </c>
      <c r="B116">
        <v>-46.9537209302325</v>
      </c>
      <c r="C116" t="s">
        <v>146</v>
      </c>
      <c r="D116">
        <v>-52.2962790697675</v>
      </c>
      <c r="E116" t="s">
        <v>169</v>
      </c>
      <c r="F116">
        <v>-99.25</v>
      </c>
    </row>
    <row r="117" spans="1:8">
      <c r="A117" t="s">
        <v>147</v>
      </c>
    </row>
    <row r="119" spans="1:8">
      <c r="A119" t="s">
        <v>148</v>
      </c>
      <c r="C119" t="s">
        <v>149</v>
      </c>
      <c r="E119" t="s">
        <v>150</v>
      </c>
    </row>
    <row r="120" spans="1:8">
      <c r="A120" t="s">
        <v>3</v>
      </c>
      <c r="B120" t="s">
        <v>151</v>
      </c>
      <c r="C120" t="s">
        <v>3</v>
      </c>
      <c r="D120" t="s">
        <v>151</v>
      </c>
      <c r="E120" t="s">
        <v>3</v>
      </c>
      <c r="F120" t="s">
        <v>151</v>
      </c>
    </row>
    <row r="121" spans="1:8">
      <c r="A121" s="1">
        <v>40219</v>
      </c>
      <c r="B121">
        <v>151.18</v>
      </c>
      <c r="C121" s="1">
        <v>40219</v>
      </c>
      <c r="D121">
        <v>-151.18</v>
      </c>
      <c r="E121" s="1">
        <v>40219</v>
      </c>
      <c r="F121">
        <v>0</v>
      </c>
    </row>
    <row r="122" spans="1:8">
      <c r="A122" s="1">
        <v>40252</v>
      </c>
      <c r="B122">
        <v>285.2</v>
      </c>
      <c r="C122" s="1">
        <v>40252</v>
      </c>
      <c r="D122">
        <v>-285.2</v>
      </c>
      <c r="E122" s="1">
        <v>40252</v>
      </c>
      <c r="F122">
        <v>0</v>
      </c>
    </row>
    <row r="123" spans="1:8">
      <c r="A123" s="1">
        <v>40268</v>
      </c>
      <c r="B123">
        <v>-12.27</v>
      </c>
      <c r="C123" s="1">
        <v>40268</v>
      </c>
      <c r="D123">
        <v>12.27</v>
      </c>
      <c r="E123" s="1">
        <v>40268</v>
      </c>
      <c r="F123">
        <v>0</v>
      </c>
    </row>
    <row r="124" spans="1:8">
      <c r="A124" s="1">
        <v>40296</v>
      </c>
      <c r="B124">
        <v>-165.31</v>
      </c>
      <c r="C124" s="1">
        <v>40296</v>
      </c>
      <c r="D124">
        <v>165.31</v>
      </c>
      <c r="E124" s="1">
        <v>40296</v>
      </c>
      <c r="F124">
        <v>0</v>
      </c>
    </row>
    <row r="125" spans="1:8">
      <c r="A125" s="1">
        <v>40330</v>
      </c>
      <c r="B125">
        <v>0</v>
      </c>
      <c r="C125" s="1">
        <v>40330</v>
      </c>
      <c r="D125">
        <v>0</v>
      </c>
    </row>
    <row r="127" spans="1:8">
      <c r="A127" t="s">
        <v>152</v>
      </c>
      <c r="B127">
        <v>0.337468180718204</v>
      </c>
      <c r="C127" t="s">
        <v>153</v>
      </c>
      <c r="D127">
        <v>1.62711310898126</v>
      </c>
    </row>
    <row r="130" spans="1:8">
      <c r="A130" t="s">
        <v>120</v>
      </c>
    </row>
    <row r="132" spans="1:8">
      <c r="A132" t="s">
        <v>121</v>
      </c>
      <c r="B132" t="s">
        <v>57</v>
      </c>
      <c r="C132" t="s">
        <v>122</v>
      </c>
      <c r="D132" t="s">
        <v>154</v>
      </c>
      <c r="E132" t="s">
        <v>124</v>
      </c>
      <c r="F132" t="s">
        <v>125</v>
      </c>
    </row>
    <row r="133" spans="1:8">
      <c r="A133" t="s">
        <v>126</v>
      </c>
      <c r="B133">
        <v>20090601</v>
      </c>
      <c r="C133" t="s">
        <v>127</v>
      </c>
      <c r="D133">
        <v>20100601</v>
      </c>
    </row>
    <row r="134" spans="1:8">
      <c r="A134" t="s">
        <v>128</v>
      </c>
      <c r="B134">
        <v>800</v>
      </c>
      <c r="C134" t="s">
        <v>129</v>
      </c>
      <c r="D134">
        <v>11.68</v>
      </c>
      <c r="E134" t="s">
        <v>130</v>
      </c>
      <c r="F134">
        <v>9344</v>
      </c>
    </row>
    <row r="135" spans="1:8">
      <c r="A135" t="s">
        <v>131</v>
      </c>
      <c r="B135">
        <v>800</v>
      </c>
      <c r="C135" t="s">
        <v>132</v>
      </c>
      <c r="D135">
        <v>13.09</v>
      </c>
      <c r="E135" t="s">
        <v>133</v>
      </c>
      <c r="F135">
        <v>10472</v>
      </c>
    </row>
    <row r="136" spans="1:8">
      <c r="A136" t="s">
        <v>134</v>
      </c>
      <c r="B136">
        <v>-10340</v>
      </c>
      <c r="C136" t="s">
        <v>135</v>
      </c>
      <c r="D136">
        <v>-10340</v>
      </c>
      <c r="E136" t="s">
        <v>136</v>
      </c>
      <c r="F136">
        <v>0</v>
      </c>
    </row>
    <row r="137" spans="1:8">
      <c r="A137" t="s">
        <v>137</v>
      </c>
      <c r="B137">
        <v>0</v>
      </c>
      <c r="C137" t="s">
        <v>138</v>
      </c>
      <c r="D137">
        <v>0</v>
      </c>
      <c r="E137" t="s">
        <v>139</v>
      </c>
      <c r="F137">
        <v>0</v>
      </c>
      <c r="G137" t="s">
        <v>140</v>
      </c>
      <c r="H137">
        <v>0</v>
      </c>
    </row>
    <row r="138" spans="1:8">
      <c r="A138" t="s">
        <v>141</v>
      </c>
      <c r="B138">
        <v>0</v>
      </c>
      <c r="C138" t="s">
        <v>142</v>
      </c>
      <c r="D138">
        <v>0</v>
      </c>
    </row>
    <row r="139" spans="1:8">
      <c r="A139" t="s">
        <v>143</v>
      </c>
      <c r="B139">
        <v>10340</v>
      </c>
      <c r="C139" t="s">
        <v>144</v>
      </c>
      <c r="D139">
        <v>0</v>
      </c>
    </row>
    <row r="140" spans="1:8">
      <c r="A140" t="s">
        <v>145</v>
      </c>
      <c r="B140">
        <v>0</v>
      </c>
      <c r="C140" t="s">
        <v>146</v>
      </c>
      <c r="D140">
        <v>1127.99999999999</v>
      </c>
      <c r="E140" t="s">
        <v>169</v>
      </c>
      <c r="F140">
        <v>1127.99999999999</v>
      </c>
    </row>
    <row r="141" spans="1:8">
      <c r="A141" t="s">
        <v>147</v>
      </c>
    </row>
    <row r="143" spans="1:8">
      <c r="A143" t="s">
        <v>148</v>
      </c>
      <c r="C143" t="s">
        <v>149</v>
      </c>
      <c r="E143" t="s">
        <v>150</v>
      </c>
    </row>
    <row r="144" spans="1:8">
      <c r="A144" t="s">
        <v>3</v>
      </c>
      <c r="B144" t="s">
        <v>151</v>
      </c>
      <c r="C144" t="s">
        <v>3</v>
      </c>
      <c r="D144" t="s">
        <v>151</v>
      </c>
      <c r="E144" t="s">
        <v>3</v>
      </c>
      <c r="F144" t="s">
        <v>151</v>
      </c>
    </row>
    <row r="145" spans="1:8">
      <c r="A145" s="1">
        <v>39965</v>
      </c>
      <c r="B145">
        <v>0</v>
      </c>
      <c r="C145" s="1">
        <v>39965</v>
      </c>
      <c r="D145">
        <v>0</v>
      </c>
    </row>
    <row r="146" spans="1:8">
      <c r="A146" s="1">
        <v>40330</v>
      </c>
      <c r="B146">
        <v>0</v>
      </c>
      <c r="C146" s="1">
        <v>40330</v>
      </c>
      <c r="D146">
        <v>0</v>
      </c>
    </row>
    <row r="148" spans="1:8">
      <c r="A148" t="s">
        <v>152</v>
      </c>
      <c r="B148">
        <v>0.120719178082191</v>
      </c>
      <c r="C148" t="s">
        <v>153</v>
      </c>
      <c r="D148">
        <v>0.120719178082191</v>
      </c>
    </row>
    <row r="151" spans="1:8">
      <c r="A151" t="s">
        <v>120</v>
      </c>
    </row>
    <row r="153" spans="1:8">
      <c r="A153" t="s">
        <v>121</v>
      </c>
      <c r="B153" t="s">
        <v>37</v>
      </c>
      <c r="C153" t="s">
        <v>122</v>
      </c>
      <c r="D153" t="s">
        <v>155</v>
      </c>
      <c r="E153" t="s">
        <v>124</v>
      </c>
      <c r="F153" t="s">
        <v>125</v>
      </c>
    </row>
    <row r="154" spans="1:8">
      <c r="A154" t="s">
        <v>126</v>
      </c>
      <c r="B154">
        <v>20090601</v>
      </c>
      <c r="C154" t="s">
        <v>127</v>
      </c>
      <c r="D154">
        <v>20100601</v>
      </c>
    </row>
    <row r="155" spans="1:8">
      <c r="A155" t="s">
        <v>128</v>
      </c>
      <c r="B155">
        <v>0</v>
      </c>
      <c r="C155" t="s">
        <v>129</v>
      </c>
      <c r="D155">
        <v>35.339997278820199</v>
      </c>
      <c r="E155" t="s">
        <v>130</v>
      </c>
      <c r="F155">
        <v>0</v>
      </c>
    </row>
    <row r="156" spans="1:8">
      <c r="A156" t="s">
        <v>131</v>
      </c>
      <c r="B156">
        <v>0</v>
      </c>
      <c r="C156" t="s">
        <v>132</v>
      </c>
      <c r="D156">
        <v>27.46</v>
      </c>
      <c r="E156" t="s">
        <v>133</v>
      </c>
      <c r="F156">
        <v>0</v>
      </c>
    </row>
    <row r="157" spans="1:8">
      <c r="A157" t="s">
        <v>134</v>
      </c>
      <c r="B157">
        <v>0</v>
      </c>
      <c r="C157" t="s">
        <v>135</v>
      </c>
      <c r="D157">
        <v>-2039.49</v>
      </c>
      <c r="E157" t="s">
        <v>136</v>
      </c>
      <c r="F157">
        <v>0</v>
      </c>
    </row>
    <row r="158" spans="1:8">
      <c r="A158" t="s">
        <v>137</v>
      </c>
      <c r="B158">
        <v>5517</v>
      </c>
      <c r="C158" t="s">
        <v>138</v>
      </c>
      <c r="D158">
        <v>-3713.34</v>
      </c>
      <c r="E158" t="s">
        <v>139</v>
      </c>
      <c r="F158">
        <v>0</v>
      </c>
      <c r="G158" t="s">
        <v>140</v>
      </c>
      <c r="H158">
        <v>0</v>
      </c>
    </row>
    <row r="159" spans="1:8">
      <c r="A159" t="s">
        <v>141</v>
      </c>
      <c r="B159">
        <v>97.21</v>
      </c>
      <c r="C159" t="s">
        <v>142</v>
      </c>
      <c r="D159">
        <v>-3.76</v>
      </c>
    </row>
    <row r="160" spans="1:8">
      <c r="A160" t="s">
        <v>143</v>
      </c>
      <c r="B160">
        <v>0</v>
      </c>
      <c r="C160" t="s">
        <v>144</v>
      </c>
      <c r="D160">
        <v>0</v>
      </c>
    </row>
    <row r="161" spans="1:6">
      <c r="A161" t="s">
        <v>145</v>
      </c>
      <c r="B161">
        <v>-1803.66</v>
      </c>
      <c r="C161" t="s">
        <v>146</v>
      </c>
      <c r="D161">
        <v>0</v>
      </c>
      <c r="E161" t="s">
        <v>169</v>
      </c>
      <c r="F161">
        <v>-1803.66</v>
      </c>
    </row>
    <row r="162" spans="1:6">
      <c r="A162" t="s">
        <v>147</v>
      </c>
    </row>
    <row r="164" spans="1:6">
      <c r="A164" t="s">
        <v>148</v>
      </c>
      <c r="C164" t="s">
        <v>149</v>
      </c>
      <c r="E164" t="s">
        <v>150</v>
      </c>
    </row>
    <row r="165" spans="1:6">
      <c r="A165" t="s">
        <v>3</v>
      </c>
      <c r="B165" t="s">
        <v>151</v>
      </c>
      <c r="C165" t="s">
        <v>3</v>
      </c>
      <c r="D165" t="s">
        <v>151</v>
      </c>
      <c r="E165" t="s">
        <v>3</v>
      </c>
      <c r="F165" t="s">
        <v>151</v>
      </c>
    </row>
    <row r="166" spans="1:6">
      <c r="A166" s="1">
        <v>40211</v>
      </c>
      <c r="B166">
        <v>-3797</v>
      </c>
      <c r="C166" s="1">
        <v>40211</v>
      </c>
      <c r="D166">
        <v>3797</v>
      </c>
      <c r="E166" s="1">
        <v>40211</v>
      </c>
      <c r="F166">
        <v>0</v>
      </c>
    </row>
    <row r="167" spans="1:6">
      <c r="A167" s="1">
        <v>40252</v>
      </c>
      <c r="B167">
        <v>-1720</v>
      </c>
      <c r="C167" s="1">
        <v>40252</v>
      </c>
      <c r="D167">
        <v>1720</v>
      </c>
      <c r="E167" s="1">
        <v>40252</v>
      </c>
      <c r="F167">
        <v>0</v>
      </c>
    </row>
    <row r="168" spans="1:6">
      <c r="A168" s="1">
        <v>40266</v>
      </c>
      <c r="B168">
        <v>97.21</v>
      </c>
      <c r="C168" s="1">
        <v>40266</v>
      </c>
      <c r="D168">
        <v>0</v>
      </c>
      <c r="E168" s="1">
        <v>40266</v>
      </c>
      <c r="F168">
        <v>0</v>
      </c>
    </row>
    <row r="169" spans="1:6">
      <c r="A169" s="1">
        <v>40276</v>
      </c>
      <c r="B169">
        <v>-3.76</v>
      </c>
      <c r="C169" s="1">
        <v>40276</v>
      </c>
      <c r="D169">
        <v>0</v>
      </c>
      <c r="E169" s="1">
        <v>40276</v>
      </c>
      <c r="F169">
        <v>0</v>
      </c>
    </row>
    <row r="170" spans="1:6">
      <c r="A170" s="1">
        <v>40283</v>
      </c>
      <c r="B170">
        <v>927</v>
      </c>
      <c r="C170" s="1">
        <v>40283</v>
      </c>
      <c r="D170">
        <v>-927</v>
      </c>
      <c r="E170" s="1">
        <v>40283</v>
      </c>
      <c r="F170">
        <v>0</v>
      </c>
    </row>
    <row r="171" spans="1:6">
      <c r="A171" s="1">
        <v>40296</v>
      </c>
      <c r="B171">
        <v>329.28</v>
      </c>
      <c r="C171" s="1">
        <v>40296</v>
      </c>
      <c r="D171">
        <v>-329.28</v>
      </c>
      <c r="E171" s="1">
        <v>40296</v>
      </c>
      <c r="F171">
        <v>-329.28</v>
      </c>
    </row>
    <row r="172" spans="1:6">
      <c r="A172" s="1">
        <v>40312</v>
      </c>
      <c r="B172">
        <v>2457.06</v>
      </c>
      <c r="C172" s="1">
        <v>40312</v>
      </c>
      <c r="D172">
        <v>-2457.06</v>
      </c>
      <c r="E172" s="1">
        <v>40312</v>
      </c>
      <c r="F172">
        <v>0</v>
      </c>
    </row>
    <row r="174" spans="1:6">
      <c r="A174" t="s">
        <v>152</v>
      </c>
      <c r="B174">
        <v>-0.38000860727876001</v>
      </c>
      <c r="C174" t="s">
        <v>153</v>
      </c>
      <c r="D174">
        <v>-0.82307371859775003</v>
      </c>
    </row>
    <row r="177" spans="1:8">
      <c r="A177" t="s">
        <v>120</v>
      </c>
    </row>
    <row r="179" spans="1:8">
      <c r="A179" t="s">
        <v>121</v>
      </c>
      <c r="B179" t="s">
        <v>61</v>
      </c>
      <c r="C179" t="s">
        <v>122</v>
      </c>
      <c r="D179" t="s">
        <v>156</v>
      </c>
      <c r="E179" t="s">
        <v>124</v>
      </c>
      <c r="F179" t="s">
        <v>125</v>
      </c>
    </row>
    <row r="180" spans="1:8">
      <c r="A180" t="s">
        <v>126</v>
      </c>
      <c r="B180">
        <v>20090601</v>
      </c>
      <c r="C180" t="s">
        <v>127</v>
      </c>
      <c r="D180">
        <v>20100601</v>
      </c>
    </row>
    <row r="181" spans="1:8">
      <c r="A181" t="s">
        <v>128</v>
      </c>
      <c r="B181">
        <v>172.2141</v>
      </c>
      <c r="C181" t="s">
        <v>129</v>
      </c>
      <c r="D181">
        <v>87.169974476631396</v>
      </c>
      <c r="E181" t="s">
        <v>130</v>
      </c>
      <c r="F181">
        <v>15011.898701516</v>
      </c>
    </row>
    <row r="182" spans="1:8">
      <c r="A182" t="s">
        <v>131</v>
      </c>
      <c r="B182">
        <v>0</v>
      </c>
      <c r="C182" t="s">
        <v>132</v>
      </c>
      <c r="D182">
        <v>98.95</v>
      </c>
      <c r="E182" t="s">
        <v>133</v>
      </c>
      <c r="F182">
        <v>0</v>
      </c>
    </row>
    <row r="183" spans="1:8">
      <c r="A183" t="s">
        <v>134</v>
      </c>
      <c r="B183">
        <v>-11486.82</v>
      </c>
      <c r="C183" t="s">
        <v>135</v>
      </c>
      <c r="D183">
        <v>6533.19</v>
      </c>
      <c r="E183" t="s">
        <v>136</v>
      </c>
      <c r="F183">
        <v>0</v>
      </c>
    </row>
    <row r="184" spans="1:8">
      <c r="A184" t="s">
        <v>137</v>
      </c>
      <c r="B184">
        <v>302.11</v>
      </c>
      <c r="C184" t="s">
        <v>138</v>
      </c>
      <c r="D184">
        <v>-18012.400000000001</v>
      </c>
      <c r="E184" t="s">
        <v>139</v>
      </c>
      <c r="F184">
        <v>0</v>
      </c>
      <c r="G184" t="s">
        <v>140</v>
      </c>
      <c r="H184">
        <v>0</v>
      </c>
    </row>
    <row r="185" spans="1:8">
      <c r="A185" t="s">
        <v>141</v>
      </c>
      <c r="B185">
        <v>309.72000000000003</v>
      </c>
      <c r="C185" t="s">
        <v>142</v>
      </c>
      <c r="D185">
        <v>0</v>
      </c>
    </row>
    <row r="186" spans="1:8">
      <c r="A186" t="s">
        <v>143</v>
      </c>
      <c r="B186">
        <v>0</v>
      </c>
      <c r="C186" t="s">
        <v>144</v>
      </c>
      <c r="D186">
        <v>0</v>
      </c>
    </row>
    <row r="187" spans="1:8">
      <c r="A187" t="s">
        <v>145</v>
      </c>
      <c r="B187">
        <v>6223.47</v>
      </c>
      <c r="C187" t="s">
        <v>146</v>
      </c>
      <c r="D187">
        <v>-3525.0787015160599</v>
      </c>
      <c r="E187" t="s">
        <v>169</v>
      </c>
      <c r="F187">
        <v>2698.3912984839399</v>
      </c>
    </row>
    <row r="188" spans="1:8">
      <c r="A188" t="s">
        <v>147</v>
      </c>
    </row>
    <row r="190" spans="1:8">
      <c r="A190" t="s">
        <v>148</v>
      </c>
      <c r="C190" t="s">
        <v>149</v>
      </c>
      <c r="E190" t="s">
        <v>150</v>
      </c>
    </row>
    <row r="191" spans="1:8">
      <c r="A191" t="s">
        <v>3</v>
      </c>
      <c r="B191" t="s">
        <v>151</v>
      </c>
      <c r="C191" t="s">
        <v>3</v>
      </c>
      <c r="D191" t="s">
        <v>151</v>
      </c>
      <c r="E191" t="s">
        <v>3</v>
      </c>
      <c r="F191" t="s">
        <v>151</v>
      </c>
    </row>
    <row r="192" spans="1:8">
      <c r="A192" s="1">
        <v>39965</v>
      </c>
      <c r="B192">
        <v>0</v>
      </c>
      <c r="C192" s="1">
        <v>39965</v>
      </c>
      <c r="D192">
        <v>0</v>
      </c>
      <c r="E192" s="1">
        <v>40177</v>
      </c>
      <c r="F192">
        <v>0</v>
      </c>
    </row>
    <row r="193" spans="1:8">
      <c r="A193" s="1">
        <v>40177</v>
      </c>
      <c r="B193">
        <v>0</v>
      </c>
      <c r="C193" s="1">
        <v>40177</v>
      </c>
      <c r="D193">
        <v>302.11</v>
      </c>
      <c r="E193" s="1">
        <v>40265</v>
      </c>
      <c r="F193">
        <v>0</v>
      </c>
    </row>
    <row r="194" spans="1:8">
      <c r="A194" s="1">
        <v>40265</v>
      </c>
      <c r="B194">
        <v>7.61</v>
      </c>
      <c r="C194" s="1">
        <v>40265</v>
      </c>
      <c r="D194">
        <v>0</v>
      </c>
      <c r="E194" s="1">
        <v>40301</v>
      </c>
      <c r="F194">
        <v>0</v>
      </c>
    </row>
    <row r="195" spans="1:8">
      <c r="A195" s="1">
        <v>40301</v>
      </c>
      <c r="B195">
        <v>18012.400000000001</v>
      </c>
      <c r="C195" s="1">
        <v>40301</v>
      </c>
      <c r="D195">
        <v>-18012.400000000001</v>
      </c>
    </row>
    <row r="197" spans="1:8">
      <c r="A197" t="s">
        <v>152</v>
      </c>
      <c r="B197">
        <v>0.198904542221055</v>
      </c>
      <c r="C197" t="s">
        <v>153</v>
      </c>
      <c r="D197">
        <v>0.21946505487521401</v>
      </c>
    </row>
    <row r="200" spans="1:8">
      <c r="A200" t="s">
        <v>120</v>
      </c>
    </row>
    <row r="202" spans="1:8">
      <c r="A202" t="s">
        <v>121</v>
      </c>
      <c r="B202" t="s">
        <v>68</v>
      </c>
      <c r="C202" t="s">
        <v>122</v>
      </c>
      <c r="D202" t="s">
        <v>157</v>
      </c>
      <c r="E202" t="s">
        <v>124</v>
      </c>
      <c r="F202" t="s">
        <v>125</v>
      </c>
    </row>
    <row r="203" spans="1:8">
      <c r="A203" t="s">
        <v>126</v>
      </c>
      <c r="B203">
        <v>20090601</v>
      </c>
      <c r="C203" t="s">
        <v>127</v>
      </c>
      <c r="D203">
        <v>20100601</v>
      </c>
    </row>
    <row r="204" spans="1:8">
      <c r="A204" t="s">
        <v>128</v>
      </c>
      <c r="B204">
        <v>0</v>
      </c>
      <c r="C204" t="s">
        <v>129</v>
      </c>
      <c r="D204">
        <v>16.699999866399999</v>
      </c>
      <c r="E204" t="s">
        <v>130</v>
      </c>
      <c r="F204">
        <v>0</v>
      </c>
    </row>
    <row r="205" spans="1:8">
      <c r="A205" t="s">
        <v>131</v>
      </c>
      <c r="B205">
        <v>54</v>
      </c>
      <c r="C205" t="s">
        <v>132</v>
      </c>
      <c r="D205">
        <v>15.02</v>
      </c>
      <c r="E205" t="s">
        <v>133</v>
      </c>
      <c r="F205">
        <v>811.07999999999902</v>
      </c>
    </row>
    <row r="206" spans="1:8">
      <c r="A206" t="s">
        <v>134</v>
      </c>
      <c r="B206">
        <v>0</v>
      </c>
      <c r="C206" t="s">
        <v>135</v>
      </c>
      <c r="D206">
        <v>16.32</v>
      </c>
      <c r="E206" t="s">
        <v>136</v>
      </c>
      <c r="F206">
        <v>0</v>
      </c>
    </row>
    <row r="207" spans="1:8">
      <c r="A207" t="s">
        <v>137</v>
      </c>
      <c r="B207">
        <v>894.78</v>
      </c>
      <c r="C207" t="s">
        <v>138</v>
      </c>
      <c r="D207">
        <v>0</v>
      </c>
      <c r="E207" t="s">
        <v>139</v>
      </c>
      <c r="F207">
        <v>0</v>
      </c>
      <c r="G207" t="s">
        <v>140</v>
      </c>
      <c r="H207">
        <v>0</v>
      </c>
    </row>
    <row r="208" spans="1:8">
      <c r="A208" t="s">
        <v>141</v>
      </c>
      <c r="B208">
        <v>0</v>
      </c>
      <c r="C208" t="s">
        <v>142</v>
      </c>
      <c r="D208">
        <v>0</v>
      </c>
    </row>
    <row r="209" spans="1:6">
      <c r="A209" t="s">
        <v>143</v>
      </c>
      <c r="B209">
        <v>894.78</v>
      </c>
      <c r="C209" t="s">
        <v>144</v>
      </c>
      <c r="D209">
        <v>0</v>
      </c>
    </row>
    <row r="210" spans="1:6">
      <c r="A210" t="s">
        <v>145</v>
      </c>
      <c r="B210">
        <v>0</v>
      </c>
      <c r="C210" t="s">
        <v>146</v>
      </c>
      <c r="D210">
        <v>-83.7</v>
      </c>
      <c r="E210" t="s">
        <v>169</v>
      </c>
      <c r="F210">
        <v>-83.7</v>
      </c>
    </row>
    <row r="211" spans="1:6">
      <c r="A211" t="s">
        <v>147</v>
      </c>
    </row>
    <row r="213" spans="1:6">
      <c r="A213" t="s">
        <v>148</v>
      </c>
      <c r="C213" t="s">
        <v>149</v>
      </c>
      <c r="E213" t="s">
        <v>150</v>
      </c>
    </row>
    <row r="214" spans="1:6">
      <c r="A214" t="s">
        <v>3</v>
      </c>
      <c r="B214" t="s">
        <v>151</v>
      </c>
      <c r="C214" t="s">
        <v>3</v>
      </c>
      <c r="D214" t="s">
        <v>151</v>
      </c>
      <c r="E214" t="s">
        <v>3</v>
      </c>
      <c r="F214" t="s">
        <v>151</v>
      </c>
    </row>
    <row r="215" spans="1:6">
      <c r="A215" s="1">
        <v>40186</v>
      </c>
      <c r="B215">
        <v>-911.1</v>
      </c>
      <c r="C215" s="1">
        <v>40186</v>
      </c>
      <c r="D215">
        <v>911.1</v>
      </c>
      <c r="E215" s="1">
        <v>40186</v>
      </c>
      <c r="F215">
        <v>911.1</v>
      </c>
    </row>
    <row r="216" spans="1:6">
      <c r="A216" s="1">
        <v>40187</v>
      </c>
      <c r="B216">
        <v>16.32</v>
      </c>
      <c r="C216" s="1">
        <v>40187</v>
      </c>
      <c r="D216">
        <v>-16.32</v>
      </c>
      <c r="E216" s="1">
        <v>40187</v>
      </c>
      <c r="F216">
        <v>0</v>
      </c>
    </row>
    <row r="217" spans="1:6">
      <c r="A217" s="1">
        <v>40330</v>
      </c>
      <c r="B217">
        <v>0</v>
      </c>
      <c r="C217" s="1">
        <v>40330</v>
      </c>
      <c r="D217">
        <v>0</v>
      </c>
    </row>
    <row r="219" spans="1:6">
      <c r="A219" t="s">
        <v>152</v>
      </c>
      <c r="B219">
        <v>-9.3530700120684804E-2</v>
      </c>
      <c r="C219" t="s">
        <v>153</v>
      </c>
      <c r="D219">
        <v>-0.22034716036146401</v>
      </c>
    </row>
    <row r="222" spans="1:6">
      <c r="A222" t="s">
        <v>120</v>
      </c>
    </row>
    <row r="224" spans="1:6">
      <c r="A224" t="s">
        <v>121</v>
      </c>
      <c r="B224" t="s">
        <v>27</v>
      </c>
      <c r="C224" t="s">
        <v>122</v>
      </c>
      <c r="D224" t="s">
        <v>158</v>
      </c>
      <c r="E224" t="s">
        <v>124</v>
      </c>
      <c r="F224" t="s">
        <v>159</v>
      </c>
    </row>
    <row r="225" spans="1:8">
      <c r="A225" t="s">
        <v>126</v>
      </c>
      <c r="B225">
        <v>20090601</v>
      </c>
      <c r="C225" t="s">
        <v>127</v>
      </c>
      <c r="D225">
        <v>20100601</v>
      </c>
    </row>
    <row r="226" spans="1:8">
      <c r="A226" t="s">
        <v>128</v>
      </c>
      <c r="B226">
        <v>0</v>
      </c>
      <c r="C226" t="s">
        <v>129</v>
      </c>
      <c r="D226">
        <v>0</v>
      </c>
      <c r="E226" t="s">
        <v>130</v>
      </c>
      <c r="F226">
        <v>24355.898701515998</v>
      </c>
    </row>
    <row r="227" spans="1:8">
      <c r="A227" t="s">
        <v>131</v>
      </c>
      <c r="B227">
        <v>0</v>
      </c>
      <c r="C227" t="s">
        <v>132</v>
      </c>
      <c r="D227">
        <v>0</v>
      </c>
      <c r="E227" t="s">
        <v>133</v>
      </c>
      <c r="F227">
        <v>10925.03</v>
      </c>
    </row>
    <row r="228" spans="1:8">
      <c r="A228" t="s">
        <v>134</v>
      </c>
      <c r="B228">
        <v>-21826.82</v>
      </c>
      <c r="C228" t="s">
        <v>135</v>
      </c>
      <c r="D228">
        <v>-5571.1799999999903</v>
      </c>
      <c r="E228" t="s">
        <v>136</v>
      </c>
      <c r="F228">
        <v>20000</v>
      </c>
    </row>
    <row r="229" spans="1:8">
      <c r="A229" t="s">
        <v>137</v>
      </c>
      <c r="B229">
        <v>6713.8899999999903</v>
      </c>
      <c r="C229" t="s">
        <v>138</v>
      </c>
      <c r="D229">
        <v>-21725.74</v>
      </c>
      <c r="E229" t="s">
        <v>139</v>
      </c>
      <c r="F229">
        <v>-424.11</v>
      </c>
      <c r="G229" t="s">
        <v>140</v>
      </c>
      <c r="H229">
        <v>165.31</v>
      </c>
    </row>
    <row r="230" spans="1:8">
      <c r="A230" t="s">
        <v>141</v>
      </c>
      <c r="B230">
        <v>406.93</v>
      </c>
      <c r="C230" t="s">
        <v>142</v>
      </c>
      <c r="D230">
        <v>-3.76</v>
      </c>
    </row>
    <row r="231" spans="1:8">
      <c r="A231" t="s">
        <v>143</v>
      </c>
      <c r="B231">
        <v>11234.78</v>
      </c>
      <c r="C231" t="s">
        <v>144</v>
      </c>
      <c r="D231">
        <v>-305.75372093023202</v>
      </c>
    </row>
    <row r="232" spans="1:8">
      <c r="A232" t="s">
        <v>145</v>
      </c>
      <c r="B232">
        <v>4372.8562790697597</v>
      </c>
      <c r="C232" t="s">
        <v>146</v>
      </c>
      <c r="D232">
        <v>-2533.07498058582</v>
      </c>
      <c r="E232" t="s">
        <v>169</v>
      </c>
      <c r="F232">
        <v>1839.78129848393</v>
      </c>
    </row>
    <row r="233" spans="1:8">
      <c r="A233" t="s">
        <v>147</v>
      </c>
    </row>
    <row r="235" spans="1:8">
      <c r="A235" t="s">
        <v>148</v>
      </c>
      <c r="C235" t="s">
        <v>149</v>
      </c>
      <c r="E235" t="s">
        <v>150</v>
      </c>
    </row>
    <row r="236" spans="1:8">
      <c r="A236" t="s">
        <v>3</v>
      </c>
      <c r="B236" t="s">
        <v>151</v>
      </c>
      <c r="C236" t="s">
        <v>3</v>
      </c>
      <c r="D236" t="s">
        <v>151</v>
      </c>
      <c r="E236" t="s">
        <v>3</v>
      </c>
      <c r="F236" t="s">
        <v>151</v>
      </c>
    </row>
    <row r="237" spans="1:8">
      <c r="A237" s="1">
        <v>39965</v>
      </c>
      <c r="B237">
        <v>0</v>
      </c>
      <c r="C237" s="1">
        <v>39965</v>
      </c>
      <c r="D237">
        <v>0</v>
      </c>
      <c r="E237" s="1">
        <v>40177</v>
      </c>
      <c r="F237">
        <v>0</v>
      </c>
    </row>
    <row r="238" spans="1:8">
      <c r="A238" s="1">
        <v>40177</v>
      </c>
      <c r="B238">
        <v>0</v>
      </c>
      <c r="C238" s="1">
        <v>40177</v>
      </c>
      <c r="D238">
        <v>302.11</v>
      </c>
      <c r="E238" s="1">
        <v>40186</v>
      </c>
      <c r="F238">
        <v>911.1</v>
      </c>
    </row>
    <row r="239" spans="1:8">
      <c r="A239" s="1">
        <v>40186</v>
      </c>
      <c r="B239">
        <v>-911.1</v>
      </c>
      <c r="C239" s="1">
        <v>40186</v>
      </c>
      <c r="D239">
        <v>911.1</v>
      </c>
      <c r="E239" s="1">
        <v>40187</v>
      </c>
      <c r="F239">
        <v>0</v>
      </c>
    </row>
    <row r="240" spans="1:8">
      <c r="A240" s="1">
        <v>40187</v>
      </c>
      <c r="B240">
        <v>16.32</v>
      </c>
      <c r="C240" s="1">
        <v>40187</v>
      </c>
      <c r="D240">
        <v>-16.32</v>
      </c>
      <c r="E240" s="1">
        <v>40211</v>
      </c>
      <c r="F240">
        <v>0</v>
      </c>
    </row>
    <row r="241" spans="1:6">
      <c r="A241" s="1">
        <v>40211</v>
      </c>
      <c r="B241">
        <v>-3797</v>
      </c>
      <c r="C241" s="1">
        <v>40211</v>
      </c>
      <c r="D241">
        <v>3797</v>
      </c>
      <c r="E241" s="1">
        <v>40219</v>
      </c>
      <c r="F241">
        <v>0</v>
      </c>
    </row>
    <row r="242" spans="1:6">
      <c r="A242" s="1">
        <v>40219</v>
      </c>
      <c r="B242">
        <v>151.18</v>
      </c>
      <c r="C242" s="1">
        <v>40219</v>
      </c>
      <c r="D242">
        <v>-151.18</v>
      </c>
      <c r="E242" s="1">
        <v>40252</v>
      </c>
      <c r="F242">
        <v>0</v>
      </c>
    </row>
    <row r="243" spans="1:6">
      <c r="A243" s="1">
        <v>40252</v>
      </c>
      <c r="B243">
        <v>-1434.8</v>
      </c>
      <c r="C243" s="1">
        <v>40252</v>
      </c>
      <c r="D243">
        <v>1434.8</v>
      </c>
      <c r="E243" s="1">
        <v>40265</v>
      </c>
      <c r="F243">
        <v>0</v>
      </c>
    </row>
    <row r="244" spans="1:6">
      <c r="A244" s="1">
        <v>40265</v>
      </c>
      <c r="B244">
        <v>7.61</v>
      </c>
      <c r="C244" s="1">
        <v>40265</v>
      </c>
      <c r="D244">
        <v>0</v>
      </c>
      <c r="E244" s="1">
        <v>40266</v>
      </c>
      <c r="F244">
        <v>0</v>
      </c>
    </row>
    <row r="245" spans="1:6">
      <c r="A245" s="1">
        <v>40266</v>
      </c>
      <c r="B245">
        <v>97.21</v>
      </c>
      <c r="C245" s="1">
        <v>40266</v>
      </c>
      <c r="D245">
        <v>0</v>
      </c>
      <c r="E245" s="1">
        <v>40268</v>
      </c>
      <c r="F245">
        <v>0</v>
      </c>
    </row>
    <row r="246" spans="1:6">
      <c r="A246" s="1">
        <v>40268</v>
      </c>
      <c r="B246">
        <v>-12.27</v>
      </c>
      <c r="C246" s="1">
        <v>40268</v>
      </c>
      <c r="D246">
        <v>12.27</v>
      </c>
      <c r="E246" s="1">
        <v>40276</v>
      </c>
      <c r="F246">
        <v>0</v>
      </c>
    </row>
    <row r="247" spans="1:6">
      <c r="A247" s="1">
        <v>40276</v>
      </c>
      <c r="B247">
        <v>-3.76</v>
      </c>
      <c r="C247" s="1">
        <v>40276</v>
      </c>
      <c r="D247">
        <v>0</v>
      </c>
      <c r="E247" s="1">
        <v>40283</v>
      </c>
      <c r="F247">
        <v>0</v>
      </c>
    </row>
    <row r="248" spans="1:6">
      <c r="A248" s="1">
        <v>40283</v>
      </c>
      <c r="B248">
        <v>927</v>
      </c>
      <c r="C248" s="1">
        <v>40283</v>
      </c>
      <c r="D248">
        <v>-927</v>
      </c>
      <c r="E248" s="1">
        <v>40296</v>
      </c>
      <c r="F248">
        <v>-329.28</v>
      </c>
    </row>
    <row r="249" spans="1:6">
      <c r="A249" s="1">
        <v>40296</v>
      </c>
      <c r="B249">
        <v>163.969999999999</v>
      </c>
      <c r="C249" s="1">
        <v>40296</v>
      </c>
      <c r="D249">
        <v>-163.969999999999</v>
      </c>
      <c r="E249" s="1">
        <v>40301</v>
      </c>
      <c r="F249">
        <v>0</v>
      </c>
    </row>
    <row r="250" spans="1:6">
      <c r="A250" s="1">
        <v>40301</v>
      </c>
      <c r="B250">
        <v>18012.400000000001</v>
      </c>
      <c r="C250" s="1">
        <v>40301</v>
      </c>
      <c r="D250">
        <v>-18012.400000000001</v>
      </c>
      <c r="E250" s="1">
        <v>40312</v>
      </c>
      <c r="F250">
        <v>0</v>
      </c>
    </row>
    <row r="251" spans="1:6">
      <c r="A251" s="1">
        <v>40312</v>
      </c>
      <c r="B251">
        <v>2457.06</v>
      </c>
      <c r="C251" s="1">
        <v>40312</v>
      </c>
      <c r="D251">
        <v>-2457.06</v>
      </c>
    </row>
    <row r="252" spans="1:6">
      <c r="A252" s="1">
        <v>40330</v>
      </c>
      <c r="B252">
        <v>0</v>
      </c>
      <c r="C252" s="1">
        <v>40330</v>
      </c>
      <c r="D252">
        <v>0</v>
      </c>
    </row>
    <row r="254" spans="1:6">
      <c r="A254" t="s">
        <v>152</v>
      </c>
      <c r="B254">
        <v>9.0994497864760895E-2</v>
      </c>
      <c r="C254" t="s">
        <v>153</v>
      </c>
      <c r="D254">
        <v>9.1482970733227198E-2</v>
      </c>
    </row>
    <row r="257" spans="1:8">
      <c r="A257" t="s">
        <v>120</v>
      </c>
    </row>
    <row r="259" spans="1:8">
      <c r="A259" t="s">
        <v>121</v>
      </c>
      <c r="B259" t="s">
        <v>27</v>
      </c>
      <c r="C259" t="s">
        <v>122</v>
      </c>
      <c r="D259" t="s">
        <v>158</v>
      </c>
      <c r="E259" t="s">
        <v>124</v>
      </c>
      <c r="F259" t="s">
        <v>160</v>
      </c>
    </row>
    <row r="260" spans="1:8">
      <c r="A260" t="s">
        <v>126</v>
      </c>
      <c r="B260">
        <v>20090601</v>
      </c>
      <c r="C260" t="s">
        <v>127</v>
      </c>
      <c r="D260">
        <v>20100601</v>
      </c>
    </row>
    <row r="261" spans="1:8">
      <c r="A261" t="s">
        <v>128</v>
      </c>
      <c r="B261">
        <v>12447.12</v>
      </c>
      <c r="C261" t="s">
        <v>129</v>
      </c>
      <c r="D261">
        <v>0</v>
      </c>
      <c r="E261" t="s">
        <v>130</v>
      </c>
      <c r="F261">
        <v>12447.12</v>
      </c>
    </row>
    <row r="262" spans="1:8">
      <c r="A262" t="s">
        <v>131</v>
      </c>
      <c r="B262">
        <v>28724.880000000001</v>
      </c>
      <c r="C262" t="s">
        <v>132</v>
      </c>
      <c r="D262">
        <v>0</v>
      </c>
      <c r="E262" t="s">
        <v>133</v>
      </c>
      <c r="F262">
        <v>28724.880000000001</v>
      </c>
    </row>
    <row r="263" spans="1:8">
      <c r="A263" t="s">
        <v>134</v>
      </c>
      <c r="B263">
        <v>0</v>
      </c>
      <c r="C263" t="s">
        <v>135</v>
      </c>
      <c r="D263">
        <v>0</v>
      </c>
      <c r="E263" t="s">
        <v>136</v>
      </c>
      <c r="F263">
        <v>20000</v>
      </c>
    </row>
    <row r="264" spans="1:8">
      <c r="A264" t="s">
        <v>137</v>
      </c>
      <c r="B264">
        <v>0</v>
      </c>
      <c r="C264" t="s">
        <v>138</v>
      </c>
      <c r="D264">
        <v>0</v>
      </c>
      <c r="E264" t="s">
        <v>139</v>
      </c>
      <c r="F264">
        <v>0</v>
      </c>
      <c r="G264" t="s">
        <v>140</v>
      </c>
      <c r="H264">
        <v>0</v>
      </c>
    </row>
    <row r="265" spans="1:8">
      <c r="A265" t="s">
        <v>141</v>
      </c>
      <c r="B265">
        <v>22.12</v>
      </c>
      <c r="C265" t="s">
        <v>142</v>
      </c>
      <c r="D265">
        <v>0</v>
      </c>
    </row>
    <row r="266" spans="1:8">
      <c r="A266" t="s">
        <v>143</v>
      </c>
      <c r="B266">
        <v>0</v>
      </c>
      <c r="C266" t="s">
        <v>144</v>
      </c>
      <c r="D266">
        <v>0</v>
      </c>
    </row>
    <row r="267" spans="1:8">
      <c r="A267" t="s">
        <v>145</v>
      </c>
      <c r="B267">
        <v>0</v>
      </c>
      <c r="C267" t="s">
        <v>146</v>
      </c>
      <c r="D267">
        <v>0</v>
      </c>
      <c r="E267" t="s">
        <v>169</v>
      </c>
      <c r="F267">
        <v>0</v>
      </c>
    </row>
    <row r="268" spans="1:8">
      <c r="A268" t="s">
        <v>147</v>
      </c>
    </row>
    <row r="270" spans="1:8">
      <c r="A270" t="s">
        <v>148</v>
      </c>
      <c r="C270" t="s">
        <v>149</v>
      </c>
      <c r="E270" t="s">
        <v>150</v>
      </c>
    </row>
    <row r="271" spans="1:8">
      <c r="A271" t="s">
        <v>3</v>
      </c>
      <c r="B271" t="s">
        <v>151</v>
      </c>
      <c r="C271" t="s">
        <v>3</v>
      </c>
      <c r="D271" t="s">
        <v>151</v>
      </c>
      <c r="E271" t="s">
        <v>3</v>
      </c>
      <c r="F271" t="s">
        <v>151</v>
      </c>
    </row>
    <row r="272" spans="1:8">
      <c r="A272" s="1">
        <v>39965</v>
      </c>
      <c r="B272">
        <v>-12447.12</v>
      </c>
      <c r="C272" s="1">
        <v>39965</v>
      </c>
      <c r="D272">
        <v>0</v>
      </c>
    </row>
    <row r="273" spans="1:4">
      <c r="A273" s="1">
        <v>40177</v>
      </c>
      <c r="B273">
        <v>0</v>
      </c>
      <c r="C273" s="1">
        <v>40177</v>
      </c>
      <c r="D273">
        <v>0</v>
      </c>
    </row>
    <row r="274" spans="1:4">
      <c r="A274" s="1">
        <v>40178</v>
      </c>
      <c r="B274">
        <v>22.12</v>
      </c>
      <c r="C274" s="1">
        <v>40178</v>
      </c>
      <c r="D274">
        <v>0</v>
      </c>
    </row>
    <row r="275" spans="1:4">
      <c r="A275" s="1">
        <v>40186</v>
      </c>
      <c r="B275">
        <v>0</v>
      </c>
      <c r="C275" s="1">
        <v>40186</v>
      </c>
      <c r="D275">
        <v>0</v>
      </c>
    </row>
    <row r="276" spans="1:4">
      <c r="A276" s="1">
        <v>40187</v>
      </c>
      <c r="B276">
        <v>-16.32</v>
      </c>
      <c r="C276" s="1">
        <v>40187</v>
      </c>
      <c r="D276">
        <v>16.32</v>
      </c>
    </row>
    <row r="277" spans="1:4">
      <c r="A277" s="1">
        <v>40211</v>
      </c>
      <c r="B277">
        <v>3797</v>
      </c>
      <c r="C277" s="1">
        <v>40211</v>
      </c>
      <c r="D277">
        <v>-3797</v>
      </c>
    </row>
    <row r="278" spans="1:4">
      <c r="A278" s="1">
        <v>40219</v>
      </c>
      <c r="B278">
        <v>-151.18</v>
      </c>
      <c r="C278" s="1">
        <v>40219</v>
      </c>
      <c r="D278">
        <v>151.18</v>
      </c>
    </row>
    <row r="279" spans="1:4">
      <c r="A279" s="1">
        <v>40252</v>
      </c>
      <c r="B279">
        <v>1434.8</v>
      </c>
      <c r="C279" s="1">
        <v>40252</v>
      </c>
      <c r="D279">
        <v>-1434.8</v>
      </c>
    </row>
    <row r="280" spans="1:4">
      <c r="A280" s="1">
        <v>40265</v>
      </c>
      <c r="B280">
        <v>-7.61</v>
      </c>
      <c r="C280" s="1">
        <v>40265</v>
      </c>
      <c r="D280">
        <v>7.61</v>
      </c>
    </row>
    <row r="281" spans="1:4">
      <c r="A281" s="1">
        <v>40266</v>
      </c>
      <c r="B281">
        <v>-97.21</v>
      </c>
      <c r="C281" s="1">
        <v>40266</v>
      </c>
      <c r="D281">
        <v>97.21</v>
      </c>
    </row>
    <row r="282" spans="1:4">
      <c r="A282" s="1">
        <v>40268</v>
      </c>
      <c r="B282">
        <v>12.27</v>
      </c>
      <c r="C282" s="1">
        <v>40268</v>
      </c>
      <c r="D282">
        <v>-12.27</v>
      </c>
    </row>
    <row r="283" spans="1:4">
      <c r="A283" s="1">
        <v>40276</v>
      </c>
      <c r="B283">
        <v>3.76</v>
      </c>
      <c r="C283" s="1">
        <v>40276</v>
      </c>
      <c r="D283">
        <v>-3.76</v>
      </c>
    </row>
    <row r="284" spans="1:4">
      <c r="A284" s="1">
        <v>40283</v>
      </c>
      <c r="B284">
        <v>-927</v>
      </c>
      <c r="C284" s="1">
        <v>40283</v>
      </c>
      <c r="D284">
        <v>927</v>
      </c>
    </row>
    <row r="285" spans="1:4">
      <c r="A285" s="1">
        <v>40296</v>
      </c>
      <c r="B285">
        <v>165.31</v>
      </c>
      <c r="C285" s="1">
        <v>40296</v>
      </c>
      <c r="D285">
        <v>-165.31</v>
      </c>
    </row>
    <row r="286" spans="1:4">
      <c r="A286" s="1">
        <v>40301</v>
      </c>
      <c r="B286">
        <v>-18012.400000000001</v>
      </c>
      <c r="C286" s="1">
        <v>40301</v>
      </c>
      <c r="D286">
        <v>18012.400000000001</v>
      </c>
    </row>
    <row r="287" spans="1:4">
      <c r="A287" s="1">
        <v>40312</v>
      </c>
      <c r="B287">
        <v>-2457.06</v>
      </c>
      <c r="C287" s="1">
        <v>40312</v>
      </c>
      <c r="D287">
        <v>2457.06</v>
      </c>
    </row>
    <row r="288" spans="1:4">
      <c r="A288" s="1">
        <v>40330</v>
      </c>
      <c r="B288">
        <v>28724.880000000001</v>
      </c>
      <c r="C288" s="1">
        <v>40330</v>
      </c>
      <c r="D288">
        <v>0</v>
      </c>
    </row>
    <row r="290" spans="1:8">
      <c r="A290" t="s">
        <v>152</v>
      </c>
      <c r="B290">
        <v>3.50361206334651E-3</v>
      </c>
      <c r="C290" t="s">
        <v>153</v>
      </c>
      <c r="D290">
        <v>3.5064082870992401E-3</v>
      </c>
    </row>
    <row r="293" spans="1:8">
      <c r="A293" t="s">
        <v>120</v>
      </c>
    </row>
    <row r="295" spans="1:8">
      <c r="A295" t="s">
        <v>121</v>
      </c>
      <c r="B295" t="s">
        <v>27</v>
      </c>
      <c r="C295" t="s">
        <v>122</v>
      </c>
      <c r="D295" t="s">
        <v>158</v>
      </c>
      <c r="E295" t="s">
        <v>124</v>
      </c>
      <c r="F295" t="s">
        <v>161</v>
      </c>
    </row>
    <row r="296" spans="1:8">
      <c r="A296" t="s">
        <v>126</v>
      </c>
      <c r="B296">
        <v>20090601</v>
      </c>
      <c r="C296" t="s">
        <v>127</v>
      </c>
      <c r="D296">
        <v>20100601</v>
      </c>
    </row>
    <row r="297" spans="1:8">
      <c r="A297" t="s">
        <v>128</v>
      </c>
      <c r="B297">
        <v>0</v>
      </c>
      <c r="C297" t="s">
        <v>129</v>
      </c>
      <c r="D297">
        <v>0</v>
      </c>
      <c r="E297" t="s">
        <v>130</v>
      </c>
      <c r="F297">
        <v>36803.018701515997</v>
      </c>
    </row>
    <row r="298" spans="1:8">
      <c r="A298" t="s">
        <v>131</v>
      </c>
      <c r="B298">
        <v>0</v>
      </c>
      <c r="C298" t="s">
        <v>132</v>
      </c>
      <c r="D298">
        <v>0</v>
      </c>
      <c r="E298" t="s">
        <v>133</v>
      </c>
      <c r="F298">
        <v>39649.910000000003</v>
      </c>
    </row>
    <row r="299" spans="1:8">
      <c r="A299" t="s">
        <v>134</v>
      </c>
      <c r="B299">
        <v>-7552.8799999999901</v>
      </c>
      <c r="C299" t="s">
        <v>135</v>
      </c>
      <c r="D299">
        <v>8724.8799999999992</v>
      </c>
      <c r="E299" t="s">
        <v>136</v>
      </c>
      <c r="F299">
        <v>20000</v>
      </c>
    </row>
    <row r="300" spans="1:8">
      <c r="A300" t="s">
        <v>137</v>
      </c>
      <c r="B300">
        <v>6713.8899999999903</v>
      </c>
      <c r="C300" t="s">
        <v>138</v>
      </c>
      <c r="D300">
        <v>-21725.74</v>
      </c>
      <c r="E300" t="s">
        <v>139</v>
      </c>
      <c r="F300">
        <v>-424.11</v>
      </c>
      <c r="G300" t="s">
        <v>140</v>
      </c>
      <c r="H300">
        <v>165.31</v>
      </c>
    </row>
    <row r="301" spans="1:8">
      <c r="A301" t="s">
        <v>141</v>
      </c>
      <c r="B301">
        <v>429.05</v>
      </c>
      <c r="C301" t="s">
        <v>142</v>
      </c>
      <c r="D301">
        <v>-3.76</v>
      </c>
    </row>
    <row r="302" spans="1:8">
      <c r="A302" t="s">
        <v>143</v>
      </c>
      <c r="B302">
        <v>11234.78</v>
      </c>
      <c r="C302" t="s">
        <v>144</v>
      </c>
      <c r="D302">
        <v>-305.75372093023202</v>
      </c>
    </row>
    <row r="303" spans="1:8">
      <c r="A303" t="s">
        <v>145</v>
      </c>
      <c r="B303">
        <v>4372.8562790697597</v>
      </c>
      <c r="C303" t="s">
        <v>146</v>
      </c>
      <c r="D303">
        <v>-2533.07498058582</v>
      </c>
      <c r="E303" t="s">
        <v>169</v>
      </c>
      <c r="F303">
        <v>1839.78129848393</v>
      </c>
    </row>
    <row r="304" spans="1:8">
      <c r="A304" t="s">
        <v>147</v>
      </c>
    </row>
    <row r="306" spans="1:6">
      <c r="A306" t="s">
        <v>148</v>
      </c>
      <c r="C306" t="s">
        <v>149</v>
      </c>
      <c r="E306" t="s">
        <v>150</v>
      </c>
    </row>
    <row r="307" spans="1:6">
      <c r="A307" t="s">
        <v>3</v>
      </c>
      <c r="B307" t="s">
        <v>151</v>
      </c>
      <c r="C307" t="s">
        <v>3</v>
      </c>
      <c r="D307" t="s">
        <v>151</v>
      </c>
      <c r="E307" t="s">
        <v>3</v>
      </c>
      <c r="F307" t="s">
        <v>151</v>
      </c>
    </row>
    <row r="308" spans="1:6">
      <c r="A308" s="1">
        <v>39965</v>
      </c>
      <c r="B308">
        <v>-36803.018701515997</v>
      </c>
      <c r="C308" s="1">
        <v>39965</v>
      </c>
      <c r="D308">
        <v>0</v>
      </c>
      <c r="E308" s="1">
        <v>39965</v>
      </c>
      <c r="F308">
        <v>0</v>
      </c>
    </row>
    <row r="309" spans="1:6">
      <c r="A309" s="1">
        <v>40177</v>
      </c>
      <c r="B309">
        <v>0</v>
      </c>
      <c r="C309" s="1">
        <v>40177</v>
      </c>
      <c r="D309">
        <v>0</v>
      </c>
      <c r="E309" s="1">
        <v>40177</v>
      </c>
      <c r="F309">
        <v>0</v>
      </c>
    </row>
    <row r="310" spans="1:6">
      <c r="A310" s="1">
        <v>40178</v>
      </c>
      <c r="B310">
        <v>0</v>
      </c>
      <c r="C310" s="1">
        <v>40178</v>
      </c>
      <c r="D310">
        <v>0</v>
      </c>
      <c r="E310" s="1">
        <v>40178</v>
      </c>
      <c r="F310">
        <v>0</v>
      </c>
    </row>
    <row r="311" spans="1:6">
      <c r="A311" s="1">
        <v>40186</v>
      </c>
      <c r="B311">
        <v>-911.1</v>
      </c>
      <c r="C311" s="1">
        <v>40186</v>
      </c>
      <c r="D311">
        <v>911.1</v>
      </c>
      <c r="E311" s="1">
        <v>40186</v>
      </c>
      <c r="F311">
        <v>911.1</v>
      </c>
    </row>
    <row r="312" spans="1:6">
      <c r="A312" s="1">
        <v>40187</v>
      </c>
      <c r="B312">
        <v>0</v>
      </c>
      <c r="C312" s="1">
        <v>40187</v>
      </c>
      <c r="D312">
        <v>0</v>
      </c>
      <c r="E312" s="1">
        <v>40187</v>
      </c>
      <c r="F312">
        <v>0</v>
      </c>
    </row>
    <row r="313" spans="1:6">
      <c r="A313" s="1">
        <v>40211</v>
      </c>
      <c r="B313">
        <v>0</v>
      </c>
      <c r="C313" s="1">
        <v>40211</v>
      </c>
      <c r="D313">
        <v>0</v>
      </c>
      <c r="E313" s="1">
        <v>40211</v>
      </c>
      <c r="F313">
        <v>0</v>
      </c>
    </row>
    <row r="314" spans="1:6">
      <c r="A314" s="1">
        <v>40219</v>
      </c>
      <c r="B314">
        <v>0</v>
      </c>
      <c r="C314" s="1">
        <v>40219</v>
      </c>
      <c r="D314">
        <v>0</v>
      </c>
      <c r="E314" s="1">
        <v>40219</v>
      </c>
      <c r="F314">
        <v>0</v>
      </c>
    </row>
    <row r="315" spans="1:6">
      <c r="A315" s="1">
        <v>40252</v>
      </c>
      <c r="B315">
        <v>0</v>
      </c>
      <c r="C315" s="1">
        <v>40252</v>
      </c>
      <c r="D315">
        <v>0</v>
      </c>
      <c r="E315" s="1">
        <v>40252</v>
      </c>
      <c r="F315">
        <v>0</v>
      </c>
    </row>
    <row r="316" spans="1:6">
      <c r="A316" s="1">
        <v>40265</v>
      </c>
      <c r="B316">
        <v>0</v>
      </c>
      <c r="C316" s="1">
        <v>40265</v>
      </c>
      <c r="D316">
        <v>0</v>
      </c>
      <c r="E316" s="1">
        <v>40265</v>
      </c>
      <c r="F316">
        <v>0</v>
      </c>
    </row>
    <row r="317" spans="1:6">
      <c r="A317" s="1">
        <v>40266</v>
      </c>
      <c r="B317">
        <v>0</v>
      </c>
      <c r="C317" s="1">
        <v>40266</v>
      </c>
      <c r="D317">
        <v>0</v>
      </c>
      <c r="E317" s="1">
        <v>40266</v>
      </c>
      <c r="F317">
        <v>0</v>
      </c>
    </row>
    <row r="318" spans="1:6">
      <c r="A318" s="1">
        <v>40268</v>
      </c>
      <c r="B318">
        <v>0</v>
      </c>
      <c r="C318" s="1">
        <v>40268</v>
      </c>
      <c r="D318">
        <v>0</v>
      </c>
      <c r="E318" s="1">
        <v>40268</v>
      </c>
      <c r="F318">
        <v>0</v>
      </c>
    </row>
    <row r="319" spans="1:6">
      <c r="A319" s="1">
        <v>40276</v>
      </c>
      <c r="B319">
        <v>0</v>
      </c>
      <c r="C319" s="1">
        <v>40276</v>
      </c>
      <c r="D319">
        <v>0</v>
      </c>
      <c r="E319" s="1">
        <v>40276</v>
      </c>
      <c r="F319">
        <v>0</v>
      </c>
    </row>
    <row r="320" spans="1:6">
      <c r="A320" s="1">
        <v>40283</v>
      </c>
      <c r="B320">
        <v>0</v>
      </c>
      <c r="C320" s="1">
        <v>40283</v>
      </c>
      <c r="D320">
        <v>0</v>
      </c>
      <c r="E320" s="1">
        <v>40283</v>
      </c>
      <c r="F320">
        <v>0</v>
      </c>
    </row>
    <row r="321" spans="1:8">
      <c r="A321" s="1">
        <v>40296</v>
      </c>
      <c r="B321">
        <v>329.28</v>
      </c>
      <c r="C321" s="1">
        <v>40296</v>
      </c>
      <c r="D321">
        <v>-329.28</v>
      </c>
      <c r="E321" s="1">
        <v>40296</v>
      </c>
      <c r="F321">
        <v>-329.28</v>
      </c>
    </row>
    <row r="322" spans="1:8">
      <c r="A322" s="1">
        <v>40301</v>
      </c>
      <c r="B322">
        <v>0</v>
      </c>
      <c r="C322" s="1">
        <v>40301</v>
      </c>
      <c r="D322">
        <v>0</v>
      </c>
      <c r="E322" s="1">
        <v>40301</v>
      </c>
      <c r="F322">
        <v>0</v>
      </c>
    </row>
    <row r="323" spans="1:8">
      <c r="A323" s="1">
        <v>40312</v>
      </c>
      <c r="B323">
        <v>0</v>
      </c>
      <c r="C323" s="1">
        <v>40312</v>
      </c>
      <c r="D323">
        <v>0</v>
      </c>
      <c r="E323" s="1">
        <v>40312</v>
      </c>
      <c r="F323">
        <v>0</v>
      </c>
    </row>
    <row r="324" spans="1:8">
      <c r="A324" s="1">
        <v>40330</v>
      </c>
      <c r="B324">
        <v>39649.910000000003</v>
      </c>
      <c r="C324" s="1">
        <v>40330</v>
      </c>
      <c r="D324">
        <v>0</v>
      </c>
      <c r="E324" s="1">
        <v>40330</v>
      </c>
      <c r="F324">
        <v>0</v>
      </c>
    </row>
    <row r="326" spans="1:8">
      <c r="A326" t="s">
        <v>152</v>
      </c>
      <c r="B326">
        <v>6.10008586134052E-2</v>
      </c>
      <c r="C326" t="s">
        <v>153</v>
      </c>
      <c r="D326">
        <v>6.1010082055955997E-2</v>
      </c>
    </row>
    <row r="329" spans="1:8">
      <c r="A329" t="s">
        <v>120</v>
      </c>
    </row>
    <row r="331" spans="1:8">
      <c r="A331" t="s">
        <v>121</v>
      </c>
      <c r="B331" t="s">
        <v>173</v>
      </c>
      <c r="C331" t="s">
        <v>122</v>
      </c>
      <c r="D331" t="s">
        <v>158</v>
      </c>
      <c r="E331" t="s">
        <v>124</v>
      </c>
      <c r="F331" t="s">
        <v>160</v>
      </c>
    </row>
    <row r="332" spans="1:8">
      <c r="A332" t="s">
        <v>126</v>
      </c>
      <c r="B332">
        <v>20090601</v>
      </c>
      <c r="C332" t="s">
        <v>127</v>
      </c>
      <c r="D332">
        <v>20100601</v>
      </c>
    </row>
    <row r="333" spans="1:8">
      <c r="A333" t="s">
        <v>128</v>
      </c>
      <c r="B333">
        <v>0</v>
      </c>
      <c r="C333" t="s">
        <v>129</v>
      </c>
      <c r="D333">
        <v>0</v>
      </c>
      <c r="E333" t="s">
        <v>130</v>
      </c>
      <c r="F333">
        <v>0</v>
      </c>
    </row>
    <row r="334" spans="1:8">
      <c r="A334" t="s">
        <v>131</v>
      </c>
      <c r="B334">
        <v>621.38</v>
      </c>
      <c r="C334" t="s">
        <v>132</v>
      </c>
      <c r="D334">
        <v>0</v>
      </c>
      <c r="E334" t="s">
        <v>133</v>
      </c>
      <c r="F334">
        <v>621.38</v>
      </c>
    </row>
    <row r="335" spans="1:8">
      <c r="A335" t="s">
        <v>134</v>
      </c>
      <c r="B335">
        <v>0</v>
      </c>
      <c r="C335" t="s">
        <v>135</v>
      </c>
      <c r="D335">
        <v>0</v>
      </c>
      <c r="E335" t="s">
        <v>136</v>
      </c>
      <c r="F335">
        <v>0</v>
      </c>
    </row>
    <row r="336" spans="1:8">
      <c r="A336" t="s">
        <v>137</v>
      </c>
      <c r="B336">
        <v>0</v>
      </c>
      <c r="C336" t="s">
        <v>138</v>
      </c>
      <c r="D336">
        <v>0</v>
      </c>
      <c r="E336" t="s">
        <v>139</v>
      </c>
      <c r="F336">
        <v>0</v>
      </c>
      <c r="G336" t="s">
        <v>140</v>
      </c>
      <c r="H336">
        <v>0</v>
      </c>
    </row>
    <row r="337" spans="1:6">
      <c r="A337" t="s">
        <v>141</v>
      </c>
      <c r="B337">
        <v>0</v>
      </c>
      <c r="C337" t="s">
        <v>142</v>
      </c>
      <c r="D337">
        <v>0</v>
      </c>
    </row>
    <row r="338" spans="1:6">
      <c r="A338" t="s">
        <v>143</v>
      </c>
      <c r="B338">
        <v>0</v>
      </c>
      <c r="C338" t="s">
        <v>144</v>
      </c>
      <c r="D338">
        <v>0</v>
      </c>
    </row>
    <row r="339" spans="1:6">
      <c r="A339" t="s">
        <v>145</v>
      </c>
      <c r="B339">
        <v>0</v>
      </c>
      <c r="C339" t="s">
        <v>146</v>
      </c>
      <c r="D339">
        <v>0</v>
      </c>
      <c r="E339" t="s">
        <v>169</v>
      </c>
      <c r="F339">
        <v>0</v>
      </c>
    </row>
    <row r="340" spans="1:6">
      <c r="A340" t="s">
        <v>147</v>
      </c>
    </row>
    <row r="342" spans="1:6">
      <c r="A342" t="s">
        <v>148</v>
      </c>
      <c r="C342" t="s">
        <v>149</v>
      </c>
      <c r="E342" t="s">
        <v>150</v>
      </c>
    </row>
    <row r="343" spans="1:6">
      <c r="A343" t="s">
        <v>3</v>
      </c>
      <c r="B343" t="s">
        <v>151</v>
      </c>
      <c r="C343" t="s">
        <v>3</v>
      </c>
      <c r="D343" t="s">
        <v>151</v>
      </c>
      <c r="E343" t="s">
        <v>3</v>
      </c>
      <c r="F343" t="s">
        <v>151</v>
      </c>
    </row>
    <row r="344" spans="1:6">
      <c r="A344" s="1">
        <v>40269</v>
      </c>
      <c r="B344">
        <v>-621.38</v>
      </c>
      <c r="C344" s="1">
        <v>40269</v>
      </c>
      <c r="D344">
        <v>621.38</v>
      </c>
    </row>
    <row r="345" spans="1:6">
      <c r="A345" s="1">
        <v>40330</v>
      </c>
      <c r="B345">
        <v>621.38</v>
      </c>
      <c r="C345" s="1">
        <v>40330</v>
      </c>
      <c r="D345">
        <v>0</v>
      </c>
    </row>
    <row r="347" spans="1:6">
      <c r="A347" t="s">
        <v>152</v>
      </c>
      <c r="B347">
        <v>0</v>
      </c>
      <c r="C347" t="s">
        <v>153</v>
      </c>
      <c r="D347">
        <v>0</v>
      </c>
    </row>
    <row r="350" spans="1:6">
      <c r="A350" t="s">
        <v>120</v>
      </c>
    </row>
    <row r="352" spans="1:6">
      <c r="A352" t="s">
        <v>121</v>
      </c>
      <c r="B352" t="s">
        <v>173</v>
      </c>
      <c r="C352" t="s">
        <v>122</v>
      </c>
      <c r="D352" t="s">
        <v>158</v>
      </c>
      <c r="E352" t="s">
        <v>124</v>
      </c>
      <c r="F352" t="s">
        <v>161</v>
      </c>
    </row>
    <row r="353" spans="1:8">
      <c r="A353" t="s">
        <v>126</v>
      </c>
      <c r="B353">
        <v>20090601</v>
      </c>
      <c r="C353" t="s">
        <v>127</v>
      </c>
      <c r="D353">
        <v>20100601</v>
      </c>
    </row>
    <row r="354" spans="1:8">
      <c r="A354" t="s">
        <v>128</v>
      </c>
      <c r="B354">
        <v>0</v>
      </c>
      <c r="C354" t="s">
        <v>129</v>
      </c>
      <c r="D354">
        <v>0</v>
      </c>
      <c r="E354" t="s">
        <v>130</v>
      </c>
      <c r="F354">
        <v>0</v>
      </c>
    </row>
    <row r="355" spans="1:8">
      <c r="A355" t="s">
        <v>131</v>
      </c>
      <c r="B355">
        <v>0</v>
      </c>
      <c r="C355" t="s">
        <v>132</v>
      </c>
      <c r="D355">
        <v>0</v>
      </c>
      <c r="E355" t="s">
        <v>133</v>
      </c>
      <c r="F355">
        <v>621.38</v>
      </c>
    </row>
    <row r="356" spans="1:8">
      <c r="A356" t="s">
        <v>134</v>
      </c>
      <c r="B356">
        <v>0</v>
      </c>
      <c r="C356" t="s">
        <v>135</v>
      </c>
      <c r="D356">
        <v>621.38</v>
      </c>
      <c r="E356" t="s">
        <v>136</v>
      </c>
      <c r="F356">
        <v>0</v>
      </c>
    </row>
    <row r="357" spans="1:8">
      <c r="A357" t="s">
        <v>137</v>
      </c>
      <c r="B357">
        <v>0</v>
      </c>
      <c r="C357" t="s">
        <v>138</v>
      </c>
      <c r="D357">
        <v>0</v>
      </c>
      <c r="E357" t="s">
        <v>139</v>
      </c>
      <c r="F357">
        <v>0</v>
      </c>
      <c r="G357" t="s">
        <v>140</v>
      </c>
      <c r="H357">
        <v>0</v>
      </c>
    </row>
    <row r="358" spans="1:8">
      <c r="A358" t="s">
        <v>141</v>
      </c>
      <c r="B358">
        <v>0</v>
      </c>
      <c r="C358" t="s">
        <v>142</v>
      </c>
      <c r="D358">
        <v>0</v>
      </c>
    </row>
    <row r="359" spans="1:8">
      <c r="A359" t="s">
        <v>143</v>
      </c>
      <c r="B359">
        <v>0</v>
      </c>
      <c r="C359" t="s">
        <v>144</v>
      </c>
      <c r="D359">
        <v>0</v>
      </c>
    </row>
    <row r="360" spans="1:8">
      <c r="A360" t="s">
        <v>145</v>
      </c>
      <c r="B360">
        <v>0</v>
      </c>
      <c r="C360" t="s">
        <v>146</v>
      </c>
      <c r="D360">
        <v>0</v>
      </c>
      <c r="E360" t="s">
        <v>169</v>
      </c>
      <c r="F360">
        <v>0</v>
      </c>
    </row>
    <row r="361" spans="1:8">
      <c r="A361" t="s">
        <v>147</v>
      </c>
    </row>
    <row r="363" spans="1:8">
      <c r="A363" t="s">
        <v>148</v>
      </c>
      <c r="C363" t="s">
        <v>149</v>
      </c>
      <c r="E363" t="s">
        <v>150</v>
      </c>
    </row>
    <row r="364" spans="1:8">
      <c r="A364" t="s">
        <v>3</v>
      </c>
      <c r="B364" t="s">
        <v>151</v>
      </c>
      <c r="C364" t="s">
        <v>3</v>
      </c>
      <c r="D364" t="s">
        <v>151</v>
      </c>
      <c r="E364" t="s">
        <v>3</v>
      </c>
      <c r="F364" t="s">
        <v>151</v>
      </c>
    </row>
    <row r="365" spans="1:8">
      <c r="A365" s="1">
        <v>40269</v>
      </c>
      <c r="B365">
        <v>-621.38</v>
      </c>
      <c r="C365" s="1">
        <v>40269</v>
      </c>
      <c r="D365">
        <v>621.38</v>
      </c>
      <c r="E365" s="1">
        <v>40269</v>
      </c>
      <c r="F365">
        <v>621.38</v>
      </c>
    </row>
    <row r="366" spans="1:8">
      <c r="A366" s="1">
        <v>40330</v>
      </c>
      <c r="B366">
        <v>621.38</v>
      </c>
      <c r="C366" s="1">
        <v>40330</v>
      </c>
      <c r="D366">
        <v>0</v>
      </c>
      <c r="E366" s="1">
        <v>40330</v>
      </c>
      <c r="F366">
        <v>0</v>
      </c>
    </row>
    <row r="368" spans="1:8">
      <c r="A368" t="s">
        <v>152</v>
      </c>
      <c r="B368">
        <v>0</v>
      </c>
      <c r="C368" t="s">
        <v>153</v>
      </c>
      <c r="D368">
        <v>0</v>
      </c>
    </row>
    <row r="371" spans="1:8">
      <c r="A371" t="s">
        <v>120</v>
      </c>
    </row>
    <row r="373" spans="1:8">
      <c r="A373" t="s">
        <v>121</v>
      </c>
      <c r="B373" t="s">
        <v>68</v>
      </c>
      <c r="C373" t="s">
        <v>122</v>
      </c>
      <c r="D373" t="s">
        <v>157</v>
      </c>
      <c r="E373" t="s">
        <v>124</v>
      </c>
      <c r="F373" t="s">
        <v>125</v>
      </c>
    </row>
    <row r="374" spans="1:8">
      <c r="A374" t="s">
        <v>126</v>
      </c>
      <c r="B374">
        <v>20090601</v>
      </c>
      <c r="C374" t="s">
        <v>127</v>
      </c>
      <c r="D374">
        <v>20100601</v>
      </c>
    </row>
    <row r="375" spans="1:8">
      <c r="A375" t="s">
        <v>128</v>
      </c>
      <c r="B375">
        <v>0</v>
      </c>
      <c r="C375" t="s">
        <v>129</v>
      </c>
      <c r="D375">
        <v>0</v>
      </c>
      <c r="E375" t="s">
        <v>130</v>
      </c>
      <c r="F375">
        <v>0</v>
      </c>
    </row>
    <row r="376" spans="1:8">
      <c r="A376" t="s">
        <v>131</v>
      </c>
      <c r="B376">
        <v>0</v>
      </c>
      <c r="C376" t="s">
        <v>132</v>
      </c>
      <c r="D376">
        <v>0</v>
      </c>
      <c r="E376" t="s">
        <v>133</v>
      </c>
      <c r="F376">
        <v>0</v>
      </c>
    </row>
    <row r="377" spans="1:8">
      <c r="A377" t="s">
        <v>134</v>
      </c>
      <c r="B377">
        <v>0</v>
      </c>
      <c r="C377" t="s">
        <v>135</v>
      </c>
      <c r="D377">
        <v>0</v>
      </c>
      <c r="E377" t="s">
        <v>136</v>
      </c>
      <c r="F377">
        <v>0</v>
      </c>
    </row>
    <row r="378" spans="1:8">
      <c r="A378" t="s">
        <v>137</v>
      </c>
      <c r="B378">
        <v>0</v>
      </c>
      <c r="C378" t="s">
        <v>138</v>
      </c>
      <c r="D378">
        <v>0</v>
      </c>
      <c r="E378" t="s">
        <v>139</v>
      </c>
      <c r="F378">
        <v>0</v>
      </c>
      <c r="G378" t="s">
        <v>140</v>
      </c>
      <c r="H378">
        <v>0</v>
      </c>
    </row>
    <row r="379" spans="1:8">
      <c r="A379" t="s">
        <v>141</v>
      </c>
      <c r="B379">
        <v>0</v>
      </c>
      <c r="C379" t="s">
        <v>142</v>
      </c>
      <c r="D379">
        <v>0</v>
      </c>
    </row>
    <row r="380" spans="1:8">
      <c r="A380" t="s">
        <v>143</v>
      </c>
      <c r="B380">
        <v>0</v>
      </c>
      <c r="C380" t="s">
        <v>144</v>
      </c>
      <c r="D380">
        <v>0</v>
      </c>
    </row>
    <row r="381" spans="1:8">
      <c r="A381" t="s">
        <v>145</v>
      </c>
      <c r="B381">
        <v>0</v>
      </c>
      <c r="C381" t="s">
        <v>146</v>
      </c>
      <c r="D381">
        <v>0</v>
      </c>
      <c r="E381" t="s">
        <v>169</v>
      </c>
      <c r="F381">
        <v>0</v>
      </c>
    </row>
    <row r="382" spans="1:8">
      <c r="A382" t="s">
        <v>147</v>
      </c>
    </row>
    <row r="384" spans="1:8">
      <c r="A384" t="s">
        <v>148</v>
      </c>
      <c r="C384" t="s">
        <v>149</v>
      </c>
      <c r="E384" t="s">
        <v>150</v>
      </c>
    </row>
    <row r="385" spans="1:8">
      <c r="A385" t="s">
        <v>3</v>
      </c>
      <c r="B385" t="s">
        <v>151</v>
      </c>
      <c r="C385" t="s">
        <v>3</v>
      </c>
      <c r="D385" t="s">
        <v>151</v>
      </c>
      <c r="E385" t="s">
        <v>3</v>
      </c>
      <c r="F385" t="s">
        <v>151</v>
      </c>
    </row>
    <row r="387" spans="1:8">
      <c r="A387" t="s">
        <v>152</v>
      </c>
      <c r="B387">
        <v>0</v>
      </c>
      <c r="C387" t="s">
        <v>153</v>
      </c>
      <c r="D387">
        <v>0</v>
      </c>
    </row>
    <row r="390" spans="1:8">
      <c r="A390" t="s">
        <v>120</v>
      </c>
    </row>
    <row r="392" spans="1:8">
      <c r="A392" t="s">
        <v>121</v>
      </c>
      <c r="B392" t="s">
        <v>175</v>
      </c>
      <c r="C392" t="s">
        <v>122</v>
      </c>
      <c r="D392" t="s">
        <v>158</v>
      </c>
      <c r="E392" t="s">
        <v>124</v>
      </c>
      <c r="F392" t="s">
        <v>159</v>
      </c>
    </row>
    <row r="393" spans="1:8">
      <c r="A393" t="s">
        <v>126</v>
      </c>
      <c r="B393">
        <v>20090601</v>
      </c>
      <c r="C393" t="s">
        <v>127</v>
      </c>
      <c r="D393">
        <v>20100601</v>
      </c>
    </row>
    <row r="394" spans="1:8">
      <c r="A394" t="s">
        <v>128</v>
      </c>
      <c r="B394">
        <v>0</v>
      </c>
      <c r="C394" t="s">
        <v>129</v>
      </c>
      <c r="D394">
        <v>0</v>
      </c>
      <c r="E394" t="s">
        <v>130</v>
      </c>
      <c r="F394">
        <v>0</v>
      </c>
    </row>
    <row r="395" spans="1:8">
      <c r="A395" t="s">
        <v>131</v>
      </c>
      <c r="B395">
        <v>0</v>
      </c>
      <c r="C395" t="s">
        <v>132</v>
      </c>
      <c r="D395">
        <v>0</v>
      </c>
      <c r="E395" t="s">
        <v>133</v>
      </c>
      <c r="F395">
        <v>0</v>
      </c>
    </row>
    <row r="396" spans="1:8">
      <c r="A396" t="s">
        <v>134</v>
      </c>
      <c r="B396">
        <v>0</v>
      </c>
      <c r="C396" t="s">
        <v>135</v>
      </c>
      <c r="D396">
        <v>0</v>
      </c>
      <c r="E396" t="s">
        <v>136</v>
      </c>
      <c r="F396">
        <v>2817.05</v>
      </c>
    </row>
    <row r="397" spans="1:8">
      <c r="A397" t="s">
        <v>137</v>
      </c>
      <c r="B397">
        <v>0</v>
      </c>
      <c r="C397" t="s">
        <v>138</v>
      </c>
      <c r="D397">
        <v>0</v>
      </c>
      <c r="E397" t="s">
        <v>139</v>
      </c>
      <c r="F397">
        <v>0</v>
      </c>
      <c r="G397" t="s">
        <v>140</v>
      </c>
      <c r="H397">
        <v>0</v>
      </c>
    </row>
    <row r="398" spans="1:8">
      <c r="A398" t="s">
        <v>141</v>
      </c>
      <c r="B398">
        <v>0</v>
      </c>
      <c r="C398" t="s">
        <v>142</v>
      </c>
      <c r="D398">
        <v>0</v>
      </c>
    </row>
    <row r="399" spans="1:8">
      <c r="A399" t="s">
        <v>143</v>
      </c>
      <c r="B399">
        <v>0</v>
      </c>
      <c r="C399" t="s">
        <v>144</v>
      </c>
      <c r="D399">
        <v>0</v>
      </c>
    </row>
    <row r="400" spans="1:8">
      <c r="A400" t="s">
        <v>145</v>
      </c>
      <c r="B400">
        <v>0</v>
      </c>
      <c r="C400" t="s">
        <v>146</v>
      </c>
      <c r="D400">
        <v>0</v>
      </c>
      <c r="E400" t="s">
        <v>169</v>
      </c>
      <c r="F400">
        <v>0</v>
      </c>
    </row>
    <row r="401" spans="1:8">
      <c r="A401" t="s">
        <v>147</v>
      </c>
    </row>
    <row r="403" spans="1:8">
      <c r="A403" t="s">
        <v>148</v>
      </c>
      <c r="C403" t="s">
        <v>149</v>
      </c>
      <c r="E403" t="s">
        <v>150</v>
      </c>
    </row>
    <row r="404" spans="1:8">
      <c r="A404" t="s">
        <v>3</v>
      </c>
      <c r="B404" t="s">
        <v>151</v>
      </c>
      <c r="C404" t="s">
        <v>3</v>
      </c>
      <c r="D404" t="s">
        <v>151</v>
      </c>
      <c r="E404" t="s">
        <v>3</v>
      </c>
      <c r="F404" t="s">
        <v>151</v>
      </c>
    </row>
    <row r="406" spans="1:8">
      <c r="A406" t="s">
        <v>152</v>
      </c>
      <c r="B406" t="s">
        <v>180</v>
      </c>
      <c r="C406" t="s">
        <v>153</v>
      </c>
      <c r="D406" t="s">
        <v>180</v>
      </c>
    </row>
    <row r="409" spans="1:8">
      <c r="A409" t="s">
        <v>120</v>
      </c>
    </row>
    <row r="411" spans="1:8">
      <c r="A411" t="s">
        <v>121</v>
      </c>
      <c r="B411" t="s">
        <v>175</v>
      </c>
      <c r="C411" t="s">
        <v>122</v>
      </c>
      <c r="D411" t="s">
        <v>158</v>
      </c>
      <c r="E411" t="s">
        <v>124</v>
      </c>
      <c r="F411" t="s">
        <v>160</v>
      </c>
    </row>
    <row r="412" spans="1:8">
      <c r="A412" t="s">
        <v>126</v>
      </c>
      <c r="B412">
        <v>20090601</v>
      </c>
      <c r="C412" t="s">
        <v>127</v>
      </c>
      <c r="D412">
        <v>20100601</v>
      </c>
    </row>
    <row r="413" spans="1:8">
      <c r="A413" t="s">
        <v>128</v>
      </c>
      <c r="B413">
        <v>2817.05</v>
      </c>
      <c r="C413" t="s">
        <v>129</v>
      </c>
      <c r="D413">
        <v>0</v>
      </c>
      <c r="E413" t="s">
        <v>130</v>
      </c>
      <c r="F413">
        <v>2817.05</v>
      </c>
    </row>
    <row r="414" spans="1:8">
      <c r="A414" t="s">
        <v>131</v>
      </c>
      <c r="B414">
        <v>2873.39</v>
      </c>
      <c r="C414" t="s">
        <v>132</v>
      </c>
      <c r="D414">
        <v>0</v>
      </c>
      <c r="E414" t="s">
        <v>133</v>
      </c>
      <c r="F414">
        <v>2873.39</v>
      </c>
    </row>
    <row r="415" spans="1:8">
      <c r="A415" t="s">
        <v>134</v>
      </c>
      <c r="B415">
        <v>0</v>
      </c>
      <c r="C415" t="s">
        <v>135</v>
      </c>
      <c r="D415">
        <v>0</v>
      </c>
      <c r="E415" t="s">
        <v>136</v>
      </c>
      <c r="F415">
        <v>2817.05</v>
      </c>
    </row>
    <row r="416" spans="1:8">
      <c r="A416" t="s">
        <v>137</v>
      </c>
      <c r="B416">
        <v>0</v>
      </c>
      <c r="C416" t="s">
        <v>138</v>
      </c>
      <c r="D416">
        <v>0</v>
      </c>
      <c r="E416" t="s">
        <v>139</v>
      </c>
      <c r="F416">
        <v>0</v>
      </c>
      <c r="G416" t="s">
        <v>140</v>
      </c>
      <c r="H416">
        <v>0</v>
      </c>
    </row>
    <row r="417" spans="1:6">
      <c r="A417" t="s">
        <v>141</v>
      </c>
      <c r="B417">
        <v>56.34</v>
      </c>
      <c r="C417" t="s">
        <v>142</v>
      </c>
      <c r="D417">
        <v>0</v>
      </c>
    </row>
    <row r="418" spans="1:6">
      <c r="A418" t="s">
        <v>143</v>
      </c>
      <c r="B418">
        <v>0</v>
      </c>
      <c r="C418" t="s">
        <v>144</v>
      </c>
      <c r="D418">
        <v>0</v>
      </c>
    </row>
    <row r="419" spans="1:6">
      <c r="A419" t="s">
        <v>145</v>
      </c>
      <c r="B419">
        <v>0</v>
      </c>
      <c r="C419" t="s">
        <v>146</v>
      </c>
      <c r="D419">
        <v>0</v>
      </c>
      <c r="E419" t="s">
        <v>169</v>
      </c>
      <c r="F419">
        <v>0</v>
      </c>
    </row>
    <row r="420" spans="1:6">
      <c r="A420" t="s">
        <v>147</v>
      </c>
    </row>
    <row r="422" spans="1:6">
      <c r="A422" t="s">
        <v>148</v>
      </c>
      <c r="C422" t="s">
        <v>149</v>
      </c>
      <c r="E422" t="s">
        <v>150</v>
      </c>
    </row>
    <row r="423" spans="1:6">
      <c r="A423" t="s">
        <v>3</v>
      </c>
      <c r="B423" t="s">
        <v>151</v>
      </c>
      <c r="C423" t="s">
        <v>3</v>
      </c>
      <c r="D423" t="s">
        <v>151</v>
      </c>
      <c r="E423" t="s">
        <v>3</v>
      </c>
      <c r="F423" t="s">
        <v>151</v>
      </c>
    </row>
    <row r="424" spans="1:6">
      <c r="A424" s="1">
        <v>40310</v>
      </c>
      <c r="B424">
        <v>-2817.05</v>
      </c>
      <c r="C424" s="1">
        <v>40310</v>
      </c>
      <c r="D424">
        <v>0</v>
      </c>
    </row>
    <row r="425" spans="1:6">
      <c r="A425" s="1">
        <v>40311</v>
      </c>
      <c r="B425">
        <v>56.34</v>
      </c>
      <c r="C425" s="1">
        <v>40311</v>
      </c>
      <c r="D425">
        <v>0</v>
      </c>
    </row>
    <row r="426" spans="1:6">
      <c r="A426" s="1">
        <v>40330</v>
      </c>
      <c r="B426">
        <v>2873.39</v>
      </c>
      <c r="C426" s="1">
        <v>40330</v>
      </c>
      <c r="D426">
        <v>0</v>
      </c>
    </row>
    <row r="428" spans="1:6">
      <c r="A428" t="s">
        <v>152</v>
      </c>
      <c r="B428">
        <v>3.9999290037450598E-2</v>
      </c>
      <c r="C428" t="s">
        <v>153</v>
      </c>
      <c r="D428">
        <v>1.0737134575157301</v>
      </c>
    </row>
    <row r="431" spans="1:6">
      <c r="A431" t="s">
        <v>120</v>
      </c>
    </row>
    <row r="433" spans="1:8">
      <c r="A433" t="s">
        <v>121</v>
      </c>
      <c r="B433" t="s">
        <v>175</v>
      </c>
      <c r="C433" t="s">
        <v>122</v>
      </c>
      <c r="D433" t="s">
        <v>158</v>
      </c>
      <c r="E433" t="s">
        <v>124</v>
      </c>
      <c r="F433" t="s">
        <v>161</v>
      </c>
    </row>
    <row r="434" spans="1:8">
      <c r="A434" t="s">
        <v>126</v>
      </c>
      <c r="B434">
        <v>20090601</v>
      </c>
      <c r="C434" t="s">
        <v>127</v>
      </c>
      <c r="D434">
        <v>20100601</v>
      </c>
    </row>
    <row r="435" spans="1:8">
      <c r="A435" t="s">
        <v>128</v>
      </c>
      <c r="B435">
        <v>0</v>
      </c>
      <c r="C435" t="s">
        <v>129</v>
      </c>
      <c r="D435">
        <v>0</v>
      </c>
      <c r="E435" t="s">
        <v>130</v>
      </c>
      <c r="F435">
        <v>2817.05</v>
      </c>
    </row>
    <row r="436" spans="1:8">
      <c r="A436" t="s">
        <v>131</v>
      </c>
      <c r="B436">
        <v>0</v>
      </c>
      <c r="C436" t="s">
        <v>132</v>
      </c>
      <c r="D436">
        <v>0</v>
      </c>
      <c r="E436" t="s">
        <v>133</v>
      </c>
      <c r="F436">
        <v>2873.39</v>
      </c>
    </row>
    <row r="437" spans="1:8">
      <c r="A437" t="s">
        <v>134</v>
      </c>
      <c r="B437">
        <v>0</v>
      </c>
      <c r="C437" t="s">
        <v>135</v>
      </c>
      <c r="D437">
        <v>56.34</v>
      </c>
      <c r="E437" t="s">
        <v>136</v>
      </c>
      <c r="F437">
        <v>2817.05</v>
      </c>
    </row>
    <row r="438" spans="1:8">
      <c r="A438" t="s">
        <v>137</v>
      </c>
      <c r="B438">
        <v>0</v>
      </c>
      <c r="C438" t="s">
        <v>138</v>
      </c>
      <c r="D438">
        <v>0</v>
      </c>
      <c r="E438" t="s">
        <v>139</v>
      </c>
      <c r="F438">
        <v>0</v>
      </c>
      <c r="G438" t="s">
        <v>140</v>
      </c>
      <c r="H438">
        <v>0</v>
      </c>
    </row>
    <row r="439" spans="1:8">
      <c r="A439" t="s">
        <v>141</v>
      </c>
      <c r="B439">
        <v>56.34</v>
      </c>
      <c r="C439" t="s">
        <v>142</v>
      </c>
      <c r="D439">
        <v>0</v>
      </c>
    </row>
    <row r="440" spans="1:8">
      <c r="A440" t="s">
        <v>143</v>
      </c>
      <c r="B440">
        <v>0</v>
      </c>
      <c r="C440" t="s">
        <v>144</v>
      </c>
      <c r="D440">
        <v>0</v>
      </c>
    </row>
    <row r="441" spans="1:8">
      <c r="A441" t="s">
        <v>145</v>
      </c>
      <c r="B441">
        <v>0</v>
      </c>
      <c r="C441" t="s">
        <v>146</v>
      </c>
      <c r="D441">
        <v>0</v>
      </c>
      <c r="E441" t="s">
        <v>169</v>
      </c>
      <c r="F441">
        <v>0</v>
      </c>
    </row>
    <row r="442" spans="1:8">
      <c r="A442" t="s">
        <v>147</v>
      </c>
    </row>
    <row r="444" spans="1:8">
      <c r="A444" t="s">
        <v>148</v>
      </c>
      <c r="C444" t="s">
        <v>149</v>
      </c>
      <c r="E444" t="s">
        <v>150</v>
      </c>
    </row>
    <row r="445" spans="1:8">
      <c r="A445" t="s">
        <v>3</v>
      </c>
      <c r="B445" t="s">
        <v>151</v>
      </c>
      <c r="C445" t="s">
        <v>3</v>
      </c>
      <c r="D445" t="s">
        <v>151</v>
      </c>
      <c r="E445" t="s">
        <v>3</v>
      </c>
      <c r="F445" t="s">
        <v>151</v>
      </c>
    </row>
    <row r="446" spans="1:8">
      <c r="A446" s="1">
        <v>40310</v>
      </c>
      <c r="B446">
        <v>-2817.05</v>
      </c>
      <c r="C446" s="1">
        <v>40310</v>
      </c>
      <c r="D446">
        <v>0</v>
      </c>
      <c r="E446" s="1">
        <v>40310</v>
      </c>
      <c r="F446">
        <v>0</v>
      </c>
    </row>
    <row r="447" spans="1:8">
      <c r="A447" s="1">
        <v>40311</v>
      </c>
      <c r="B447">
        <v>0</v>
      </c>
      <c r="C447" s="1">
        <v>40311</v>
      </c>
      <c r="D447">
        <v>0</v>
      </c>
      <c r="E447" s="1">
        <v>40311</v>
      </c>
      <c r="F447">
        <v>0</v>
      </c>
    </row>
    <row r="448" spans="1:8">
      <c r="A448" s="1">
        <v>40330</v>
      </c>
      <c r="B448">
        <v>2873.39</v>
      </c>
      <c r="C448" s="1">
        <v>40330</v>
      </c>
      <c r="D448">
        <v>0</v>
      </c>
      <c r="E448" s="1">
        <v>40330</v>
      </c>
      <c r="F448">
        <v>0</v>
      </c>
    </row>
    <row r="450" spans="1:8">
      <c r="A450" t="s">
        <v>152</v>
      </c>
      <c r="B450">
        <v>1.9999645018725299E-2</v>
      </c>
      <c r="C450" t="s">
        <v>153</v>
      </c>
      <c r="D450">
        <v>0.43532541964404298</v>
      </c>
    </row>
    <row r="453" spans="1:8">
      <c r="A453" t="s">
        <v>120</v>
      </c>
    </row>
    <row r="455" spans="1:8">
      <c r="A455" t="s">
        <v>121</v>
      </c>
      <c r="B455" t="s">
        <v>72</v>
      </c>
      <c r="C455" t="s">
        <v>122</v>
      </c>
      <c r="D455" t="s">
        <v>162</v>
      </c>
      <c r="E455" t="s">
        <v>124</v>
      </c>
      <c r="F455" t="s">
        <v>125</v>
      </c>
    </row>
    <row r="456" spans="1:8">
      <c r="A456" t="s">
        <v>126</v>
      </c>
      <c r="B456">
        <v>20090601</v>
      </c>
      <c r="C456" t="s">
        <v>127</v>
      </c>
      <c r="D456">
        <v>20100601</v>
      </c>
    </row>
    <row r="457" spans="1:8">
      <c r="A457" t="s">
        <v>128</v>
      </c>
      <c r="B457">
        <v>0</v>
      </c>
      <c r="C457" t="s">
        <v>129</v>
      </c>
      <c r="D457">
        <v>14.44</v>
      </c>
      <c r="E457" t="s">
        <v>130</v>
      </c>
      <c r="F457">
        <v>0</v>
      </c>
    </row>
    <row r="458" spans="1:8">
      <c r="A458" t="s">
        <v>131</v>
      </c>
      <c r="B458">
        <v>0</v>
      </c>
      <c r="C458" t="s">
        <v>132</v>
      </c>
      <c r="D458">
        <v>14.37</v>
      </c>
      <c r="E458" t="s">
        <v>133</v>
      </c>
      <c r="F458">
        <v>0</v>
      </c>
    </row>
    <row r="459" spans="1:8">
      <c r="A459" t="s">
        <v>134</v>
      </c>
      <c r="B459">
        <v>0</v>
      </c>
      <c r="C459" t="s">
        <v>135</v>
      </c>
      <c r="D459">
        <v>351.55</v>
      </c>
      <c r="E459" t="s">
        <v>136</v>
      </c>
      <c r="F459">
        <v>0</v>
      </c>
    </row>
    <row r="460" spans="1:8">
      <c r="A460" t="s">
        <v>137</v>
      </c>
      <c r="B460">
        <v>3177.14</v>
      </c>
      <c r="C460" t="s">
        <v>138</v>
      </c>
      <c r="D460">
        <v>-3507.21</v>
      </c>
      <c r="E460" t="s">
        <v>139</v>
      </c>
      <c r="F460">
        <v>0</v>
      </c>
      <c r="G460" t="s">
        <v>140</v>
      </c>
      <c r="H460">
        <v>0</v>
      </c>
    </row>
    <row r="461" spans="1:8">
      <c r="A461" t="s">
        <v>141</v>
      </c>
      <c r="B461">
        <v>21.479999999999901</v>
      </c>
      <c r="C461" t="s">
        <v>142</v>
      </c>
      <c r="D461">
        <v>0</v>
      </c>
    </row>
    <row r="462" spans="1:8">
      <c r="A462" t="s">
        <v>143</v>
      </c>
      <c r="B462">
        <v>0</v>
      </c>
      <c r="C462" t="s">
        <v>144</v>
      </c>
      <c r="D462">
        <v>0</v>
      </c>
    </row>
    <row r="463" spans="1:8">
      <c r="A463" t="s">
        <v>145</v>
      </c>
      <c r="B463">
        <v>330.07</v>
      </c>
      <c r="C463" t="s">
        <v>146</v>
      </c>
      <c r="D463">
        <v>0</v>
      </c>
      <c r="E463" t="s">
        <v>169</v>
      </c>
      <c r="F463">
        <v>330.07</v>
      </c>
    </row>
    <row r="464" spans="1:8">
      <c r="A464" t="s">
        <v>147</v>
      </c>
    </row>
    <row r="466" spans="1:6">
      <c r="A466" t="s">
        <v>148</v>
      </c>
      <c r="C466" t="s">
        <v>149</v>
      </c>
      <c r="E466" t="s">
        <v>150</v>
      </c>
    </row>
    <row r="467" spans="1:6">
      <c r="A467" t="s">
        <v>3</v>
      </c>
      <c r="B467" t="s">
        <v>151</v>
      </c>
      <c r="C467" t="s">
        <v>3</v>
      </c>
      <c r="D467" t="s">
        <v>151</v>
      </c>
      <c r="E467" t="s">
        <v>3</v>
      </c>
      <c r="F467" t="s">
        <v>151</v>
      </c>
    </row>
    <row r="468" spans="1:6">
      <c r="A468" s="1">
        <v>40049</v>
      </c>
      <c r="B468">
        <v>-3177.14</v>
      </c>
      <c r="C468" s="1">
        <v>40049</v>
      </c>
      <c r="D468">
        <v>3177.14</v>
      </c>
      <c r="E468" s="1">
        <v>40049</v>
      </c>
      <c r="F468">
        <v>0</v>
      </c>
    </row>
    <row r="469" spans="1:6">
      <c r="A469" s="1">
        <v>40074</v>
      </c>
      <c r="B469">
        <v>10.199999999999999</v>
      </c>
      <c r="C469" s="1">
        <v>40074</v>
      </c>
      <c r="D469">
        <v>0</v>
      </c>
      <c r="E469" s="1">
        <v>40074</v>
      </c>
      <c r="F469">
        <v>0</v>
      </c>
    </row>
    <row r="470" spans="1:6">
      <c r="A470" s="1">
        <v>40165</v>
      </c>
      <c r="B470">
        <v>11.28</v>
      </c>
      <c r="C470" s="1">
        <v>40165</v>
      </c>
      <c r="D470">
        <v>0</v>
      </c>
      <c r="E470" s="1">
        <v>40165</v>
      </c>
      <c r="F470">
        <v>0</v>
      </c>
    </row>
    <row r="471" spans="1:6">
      <c r="A471" s="1">
        <v>40273</v>
      </c>
      <c r="B471">
        <v>3507.21</v>
      </c>
      <c r="C471" s="1">
        <v>40273</v>
      </c>
      <c r="D471">
        <v>-3507.21</v>
      </c>
      <c r="E471" s="1">
        <v>40273</v>
      </c>
      <c r="F471">
        <v>0</v>
      </c>
    </row>
    <row r="473" spans="1:6">
      <c r="A473" t="s">
        <v>152</v>
      </c>
      <c r="B473">
        <v>0.110649829721069</v>
      </c>
      <c r="C473" t="s">
        <v>153</v>
      </c>
      <c r="D473">
        <v>0.18736702623006701</v>
      </c>
    </row>
    <row r="476" spans="1:6">
      <c r="A476" t="s">
        <v>120</v>
      </c>
    </row>
    <row r="478" spans="1:6">
      <c r="A478" t="s">
        <v>121</v>
      </c>
      <c r="B478" t="s">
        <v>181</v>
      </c>
      <c r="C478" t="s">
        <v>122</v>
      </c>
      <c r="D478" t="s">
        <v>182</v>
      </c>
      <c r="E478" t="s">
        <v>124</v>
      </c>
      <c r="F478" t="s">
        <v>125</v>
      </c>
    </row>
    <row r="479" spans="1:6">
      <c r="A479" t="s">
        <v>126</v>
      </c>
      <c r="B479">
        <v>20090601</v>
      </c>
      <c r="C479" t="s">
        <v>127</v>
      </c>
      <c r="D479">
        <v>20100601</v>
      </c>
    </row>
    <row r="480" spans="1:6">
      <c r="A480" t="s">
        <v>128</v>
      </c>
      <c r="B480">
        <v>0</v>
      </c>
      <c r="C480" t="s">
        <v>129</v>
      </c>
      <c r="D480">
        <v>0</v>
      </c>
      <c r="E480" t="s">
        <v>130</v>
      </c>
      <c r="F480">
        <v>0</v>
      </c>
    </row>
    <row r="481" spans="1:8">
      <c r="A481" t="s">
        <v>131</v>
      </c>
      <c r="B481">
        <v>0</v>
      </c>
      <c r="C481" t="s">
        <v>132</v>
      </c>
      <c r="D481">
        <v>0</v>
      </c>
      <c r="E481" t="s">
        <v>133</v>
      </c>
      <c r="F481">
        <v>0</v>
      </c>
    </row>
    <row r="482" spans="1:8">
      <c r="A482" t="s">
        <v>134</v>
      </c>
      <c r="B482">
        <v>0</v>
      </c>
      <c r="C482" t="s">
        <v>135</v>
      </c>
      <c r="D482">
        <v>0</v>
      </c>
      <c r="E482" t="s">
        <v>136</v>
      </c>
      <c r="F482">
        <v>0</v>
      </c>
    </row>
    <row r="483" spans="1:8">
      <c r="A483" t="s">
        <v>137</v>
      </c>
      <c r="B483">
        <v>0</v>
      </c>
      <c r="C483" t="s">
        <v>138</v>
      </c>
      <c r="D483">
        <v>0</v>
      </c>
      <c r="E483" t="s">
        <v>139</v>
      </c>
      <c r="F483">
        <v>0</v>
      </c>
      <c r="G483" t="s">
        <v>140</v>
      </c>
      <c r="H483">
        <v>0</v>
      </c>
    </row>
    <row r="484" spans="1:8">
      <c r="A484" t="s">
        <v>141</v>
      </c>
      <c r="B484">
        <v>0</v>
      </c>
      <c r="C484" t="s">
        <v>142</v>
      </c>
      <c r="D484">
        <v>0</v>
      </c>
    </row>
    <row r="485" spans="1:8">
      <c r="A485" t="s">
        <v>143</v>
      </c>
      <c r="B485">
        <v>0</v>
      </c>
      <c r="C485" t="s">
        <v>144</v>
      </c>
      <c r="D485">
        <v>0</v>
      </c>
    </row>
    <row r="486" spans="1:8">
      <c r="A486" t="s">
        <v>145</v>
      </c>
      <c r="B486">
        <v>0</v>
      </c>
      <c r="C486" t="s">
        <v>146</v>
      </c>
      <c r="D486">
        <v>0</v>
      </c>
      <c r="E486" t="s">
        <v>169</v>
      </c>
      <c r="F486">
        <v>0</v>
      </c>
    </row>
    <row r="487" spans="1:8">
      <c r="A487" t="s">
        <v>147</v>
      </c>
    </row>
    <row r="489" spans="1:8">
      <c r="A489" t="s">
        <v>148</v>
      </c>
      <c r="C489" t="s">
        <v>149</v>
      </c>
      <c r="E489" t="s">
        <v>150</v>
      </c>
    </row>
    <row r="490" spans="1:8">
      <c r="A490" t="s">
        <v>3</v>
      </c>
      <c r="B490" t="s">
        <v>151</v>
      </c>
      <c r="C490" t="s">
        <v>3</v>
      </c>
      <c r="D490" t="s">
        <v>151</v>
      </c>
      <c r="E490" t="s">
        <v>3</v>
      </c>
      <c r="F490" t="s">
        <v>151</v>
      </c>
    </row>
    <row r="492" spans="1:8">
      <c r="A492" t="s">
        <v>152</v>
      </c>
      <c r="B492">
        <v>0</v>
      </c>
      <c r="C492" t="s">
        <v>153</v>
      </c>
      <c r="D492">
        <v>0</v>
      </c>
    </row>
    <row r="495" spans="1:8">
      <c r="A495" t="s">
        <v>120</v>
      </c>
    </row>
    <row r="497" spans="1:8">
      <c r="A497" t="s">
        <v>121</v>
      </c>
      <c r="B497" t="s">
        <v>57</v>
      </c>
      <c r="C497" t="s">
        <v>122</v>
      </c>
      <c r="D497" t="s">
        <v>154</v>
      </c>
      <c r="E497" t="s">
        <v>124</v>
      </c>
      <c r="F497" t="s">
        <v>125</v>
      </c>
    </row>
    <row r="498" spans="1:8">
      <c r="A498" t="s">
        <v>126</v>
      </c>
      <c r="B498">
        <v>20090601</v>
      </c>
      <c r="C498" t="s">
        <v>127</v>
      </c>
      <c r="D498">
        <v>20100601</v>
      </c>
    </row>
    <row r="499" spans="1:8">
      <c r="A499" t="s">
        <v>128</v>
      </c>
      <c r="B499">
        <v>0</v>
      </c>
      <c r="C499" t="s">
        <v>129</v>
      </c>
      <c r="D499">
        <v>11.68</v>
      </c>
      <c r="E499" t="s">
        <v>130</v>
      </c>
      <c r="F499">
        <v>0</v>
      </c>
    </row>
    <row r="500" spans="1:8">
      <c r="A500" t="s">
        <v>131</v>
      </c>
      <c r="B500">
        <v>197</v>
      </c>
      <c r="C500" t="s">
        <v>132</v>
      </c>
      <c r="D500">
        <v>13.09</v>
      </c>
      <c r="E500" t="s">
        <v>133</v>
      </c>
      <c r="F500">
        <v>2578.73</v>
      </c>
    </row>
    <row r="501" spans="1:8">
      <c r="A501" t="s">
        <v>134</v>
      </c>
      <c r="B501">
        <v>0</v>
      </c>
      <c r="C501" t="s">
        <v>135</v>
      </c>
      <c r="D501">
        <v>-2986.91</v>
      </c>
      <c r="E501" t="s">
        <v>136</v>
      </c>
      <c r="F501">
        <v>0</v>
      </c>
    </row>
    <row r="502" spans="1:8">
      <c r="A502" t="s">
        <v>137</v>
      </c>
      <c r="B502">
        <v>2986.91</v>
      </c>
      <c r="C502" t="s">
        <v>138</v>
      </c>
      <c r="D502">
        <v>0</v>
      </c>
      <c r="E502" t="s">
        <v>139</v>
      </c>
      <c r="F502">
        <v>0</v>
      </c>
      <c r="G502" t="s">
        <v>140</v>
      </c>
      <c r="H502">
        <v>0</v>
      </c>
    </row>
    <row r="503" spans="1:8">
      <c r="A503" t="s">
        <v>141</v>
      </c>
      <c r="B503">
        <v>0</v>
      </c>
      <c r="C503" t="s">
        <v>142</v>
      </c>
      <c r="D503">
        <v>0</v>
      </c>
    </row>
    <row r="504" spans="1:8">
      <c r="A504" t="s">
        <v>143</v>
      </c>
      <c r="B504">
        <v>2986.91</v>
      </c>
      <c r="C504" t="s">
        <v>144</v>
      </c>
      <c r="D504">
        <v>0</v>
      </c>
    </row>
    <row r="505" spans="1:8">
      <c r="A505" t="s">
        <v>145</v>
      </c>
      <c r="B505">
        <v>0</v>
      </c>
      <c r="C505" t="s">
        <v>146</v>
      </c>
      <c r="D505">
        <v>-408.17999999999898</v>
      </c>
      <c r="E505" t="s">
        <v>169</v>
      </c>
      <c r="F505">
        <v>-408.17999999999898</v>
      </c>
    </row>
    <row r="506" spans="1:8">
      <c r="A506" t="s">
        <v>147</v>
      </c>
    </row>
    <row r="508" spans="1:8">
      <c r="A508" t="s">
        <v>148</v>
      </c>
      <c r="C508" t="s">
        <v>149</v>
      </c>
      <c r="E508" t="s">
        <v>150</v>
      </c>
    </row>
    <row r="509" spans="1:8">
      <c r="A509" t="s">
        <v>3</v>
      </c>
      <c r="B509" t="s">
        <v>151</v>
      </c>
      <c r="C509" t="s">
        <v>3</v>
      </c>
      <c r="D509" t="s">
        <v>151</v>
      </c>
      <c r="E509" t="s">
        <v>3</v>
      </c>
      <c r="F509" t="s">
        <v>151</v>
      </c>
    </row>
    <row r="510" spans="1:8">
      <c r="A510" s="1">
        <v>40266</v>
      </c>
      <c r="B510">
        <v>-2986.91</v>
      </c>
      <c r="C510" s="1">
        <v>40266</v>
      </c>
      <c r="D510">
        <v>2986.91</v>
      </c>
      <c r="E510" s="1">
        <v>40266</v>
      </c>
      <c r="F510">
        <v>0</v>
      </c>
    </row>
    <row r="511" spans="1:8">
      <c r="A511" s="1">
        <v>40330</v>
      </c>
      <c r="B511">
        <v>0</v>
      </c>
      <c r="C511" s="1">
        <v>40330</v>
      </c>
      <c r="D511">
        <v>0</v>
      </c>
    </row>
    <row r="513" spans="1:8">
      <c r="A513" t="s">
        <v>152</v>
      </c>
      <c r="B513">
        <v>-0.13665627688815499</v>
      </c>
      <c r="C513" t="s">
        <v>153</v>
      </c>
      <c r="D513">
        <v>-0.56743849411894798</v>
      </c>
    </row>
    <row r="516" spans="1:8">
      <c r="A516" t="s">
        <v>120</v>
      </c>
    </row>
    <row r="518" spans="1:8">
      <c r="A518" t="s">
        <v>121</v>
      </c>
      <c r="B518" t="s">
        <v>35</v>
      </c>
      <c r="C518" t="s">
        <v>122</v>
      </c>
      <c r="D518" t="s">
        <v>158</v>
      </c>
      <c r="E518" t="s">
        <v>124</v>
      </c>
      <c r="F518" t="s">
        <v>159</v>
      </c>
    </row>
    <row r="519" spans="1:8">
      <c r="A519" t="s">
        <v>126</v>
      </c>
      <c r="B519">
        <v>20090601</v>
      </c>
      <c r="C519" t="s">
        <v>127</v>
      </c>
      <c r="D519">
        <v>20100601</v>
      </c>
    </row>
    <row r="520" spans="1:8">
      <c r="A520" t="s">
        <v>128</v>
      </c>
      <c r="B520">
        <v>0</v>
      </c>
      <c r="C520" t="s">
        <v>129</v>
      </c>
      <c r="D520">
        <v>0</v>
      </c>
      <c r="E520" t="s">
        <v>130</v>
      </c>
      <c r="F520">
        <v>0</v>
      </c>
    </row>
    <row r="521" spans="1:8">
      <c r="A521" t="s">
        <v>131</v>
      </c>
      <c r="B521">
        <v>0</v>
      </c>
      <c r="C521" t="s">
        <v>132</v>
      </c>
      <c r="D521">
        <v>0</v>
      </c>
      <c r="E521" t="s">
        <v>133</v>
      </c>
      <c r="F521">
        <v>2578.73</v>
      </c>
    </row>
    <row r="522" spans="1:8">
      <c r="A522" t="s">
        <v>134</v>
      </c>
      <c r="B522">
        <v>0</v>
      </c>
      <c r="C522" t="s">
        <v>135</v>
      </c>
      <c r="D522">
        <v>-2635.3599999999901</v>
      </c>
      <c r="E522" t="s">
        <v>136</v>
      </c>
      <c r="F522">
        <v>0</v>
      </c>
    </row>
    <row r="523" spans="1:8">
      <c r="A523" t="s">
        <v>137</v>
      </c>
      <c r="B523">
        <v>6164.0499999999902</v>
      </c>
      <c r="C523" t="s">
        <v>138</v>
      </c>
      <c r="D523">
        <v>-3507.21</v>
      </c>
      <c r="E523" t="s">
        <v>139</v>
      </c>
      <c r="F523">
        <v>0</v>
      </c>
      <c r="G523" t="s">
        <v>140</v>
      </c>
      <c r="H523">
        <v>0</v>
      </c>
    </row>
    <row r="524" spans="1:8">
      <c r="A524" t="s">
        <v>141</v>
      </c>
      <c r="B524">
        <v>21.479999999999901</v>
      </c>
      <c r="C524" t="s">
        <v>142</v>
      </c>
      <c r="D524">
        <v>0</v>
      </c>
    </row>
    <row r="525" spans="1:8">
      <c r="A525" t="s">
        <v>143</v>
      </c>
      <c r="B525">
        <v>2986.91</v>
      </c>
      <c r="C525" t="s">
        <v>144</v>
      </c>
      <c r="D525">
        <v>0</v>
      </c>
    </row>
    <row r="526" spans="1:8">
      <c r="A526" t="s">
        <v>145</v>
      </c>
      <c r="B526">
        <v>330.07</v>
      </c>
      <c r="C526" t="s">
        <v>146</v>
      </c>
      <c r="D526">
        <v>-408.17999999999898</v>
      </c>
      <c r="E526" t="s">
        <v>169</v>
      </c>
      <c r="F526">
        <v>-78.109999999999701</v>
      </c>
    </row>
    <row r="527" spans="1:8">
      <c r="A527" t="s">
        <v>147</v>
      </c>
    </row>
    <row r="529" spans="1:6">
      <c r="A529" t="s">
        <v>148</v>
      </c>
      <c r="C529" t="s">
        <v>149</v>
      </c>
      <c r="E529" t="s">
        <v>150</v>
      </c>
    </row>
    <row r="530" spans="1:6">
      <c r="A530" t="s">
        <v>3</v>
      </c>
      <c r="B530" t="s">
        <v>151</v>
      </c>
      <c r="C530" t="s">
        <v>3</v>
      </c>
      <c r="D530" t="s">
        <v>151</v>
      </c>
      <c r="E530" t="s">
        <v>3</v>
      </c>
      <c r="F530" t="s">
        <v>151</v>
      </c>
    </row>
    <row r="531" spans="1:6">
      <c r="A531" s="1">
        <v>40049</v>
      </c>
      <c r="B531">
        <v>-3177.14</v>
      </c>
      <c r="C531" s="1">
        <v>40049</v>
      </c>
      <c r="D531">
        <v>3177.14</v>
      </c>
      <c r="E531" s="1">
        <v>40049</v>
      </c>
      <c r="F531">
        <v>0</v>
      </c>
    </row>
    <row r="532" spans="1:6">
      <c r="A532" s="1">
        <v>40074</v>
      </c>
      <c r="B532">
        <v>10.199999999999999</v>
      </c>
      <c r="C532" s="1">
        <v>40074</v>
      </c>
      <c r="D532">
        <v>0</v>
      </c>
      <c r="E532" s="1">
        <v>40074</v>
      </c>
      <c r="F532">
        <v>0</v>
      </c>
    </row>
    <row r="533" spans="1:6">
      <c r="A533" s="1">
        <v>40165</v>
      </c>
      <c r="B533">
        <v>11.28</v>
      </c>
      <c r="C533" s="1">
        <v>40165</v>
      </c>
      <c r="D533">
        <v>0</v>
      </c>
      <c r="E533" s="1">
        <v>40165</v>
      </c>
      <c r="F533">
        <v>0</v>
      </c>
    </row>
    <row r="534" spans="1:6">
      <c r="A534" s="1">
        <v>40266</v>
      </c>
      <c r="B534">
        <v>-2986.91</v>
      </c>
      <c r="C534" s="1">
        <v>40266</v>
      </c>
      <c r="D534">
        <v>2986.91</v>
      </c>
      <c r="E534" s="1">
        <v>40266</v>
      </c>
      <c r="F534">
        <v>0</v>
      </c>
    </row>
    <row r="535" spans="1:6">
      <c r="A535" s="1">
        <v>40273</v>
      </c>
      <c r="B535">
        <v>3507.21</v>
      </c>
      <c r="C535" s="1">
        <v>40273</v>
      </c>
      <c r="D535">
        <v>-3507.21</v>
      </c>
      <c r="E535" s="1">
        <v>40273</v>
      </c>
      <c r="F535">
        <v>0</v>
      </c>
    </row>
    <row r="536" spans="1:6">
      <c r="A536" s="1">
        <v>40330</v>
      </c>
      <c r="B536">
        <v>0</v>
      </c>
      <c r="C536" s="1">
        <v>40330</v>
      </c>
      <c r="D536">
        <v>0</v>
      </c>
    </row>
    <row r="538" spans="1:6">
      <c r="A538" t="s">
        <v>152</v>
      </c>
      <c r="B538">
        <v>-1.8000602944968799E-2</v>
      </c>
      <c r="C538" t="s">
        <v>153</v>
      </c>
      <c r="D538">
        <v>-2.3439738765129201E-2</v>
      </c>
    </row>
    <row r="541" spans="1:6">
      <c r="A541" t="s">
        <v>120</v>
      </c>
    </row>
    <row r="543" spans="1:6">
      <c r="A543" t="s">
        <v>121</v>
      </c>
      <c r="B543" t="s">
        <v>35</v>
      </c>
      <c r="C543" t="s">
        <v>122</v>
      </c>
      <c r="D543" t="s">
        <v>158</v>
      </c>
      <c r="E543" t="s">
        <v>124</v>
      </c>
      <c r="F543" t="s">
        <v>160</v>
      </c>
    </row>
    <row r="544" spans="1:6">
      <c r="A544" t="s">
        <v>126</v>
      </c>
      <c r="B544">
        <v>20090601</v>
      </c>
      <c r="C544" t="s">
        <v>127</v>
      </c>
      <c r="D544">
        <v>20100601</v>
      </c>
    </row>
    <row r="545" spans="1:8">
      <c r="A545" t="s">
        <v>128</v>
      </c>
      <c r="B545">
        <v>0</v>
      </c>
      <c r="C545" t="s">
        <v>129</v>
      </c>
      <c r="D545">
        <v>0</v>
      </c>
      <c r="E545" t="s">
        <v>130</v>
      </c>
      <c r="F545">
        <v>0</v>
      </c>
    </row>
    <row r="546" spans="1:8">
      <c r="A546" t="s">
        <v>131</v>
      </c>
      <c r="B546">
        <v>7364.64</v>
      </c>
      <c r="C546" t="s">
        <v>132</v>
      </c>
      <c r="D546">
        <v>0</v>
      </c>
      <c r="E546" t="s">
        <v>133</v>
      </c>
      <c r="F546">
        <v>7364.64</v>
      </c>
    </row>
    <row r="547" spans="1:8">
      <c r="A547" t="s">
        <v>134</v>
      </c>
      <c r="B547">
        <v>0</v>
      </c>
      <c r="C547" t="s">
        <v>135</v>
      </c>
      <c r="D547">
        <v>0</v>
      </c>
      <c r="E547" t="s">
        <v>136</v>
      </c>
      <c r="F547">
        <v>0</v>
      </c>
    </row>
    <row r="548" spans="1:8">
      <c r="A548" t="s">
        <v>137</v>
      </c>
      <c r="B548">
        <v>0</v>
      </c>
      <c r="C548" t="s">
        <v>138</v>
      </c>
      <c r="D548">
        <v>0</v>
      </c>
      <c r="E548" t="s">
        <v>139</v>
      </c>
      <c r="F548">
        <v>0</v>
      </c>
      <c r="G548" t="s">
        <v>140</v>
      </c>
      <c r="H548">
        <v>0</v>
      </c>
    </row>
    <row r="549" spans="1:8">
      <c r="A549" t="s">
        <v>141</v>
      </c>
      <c r="B549">
        <v>0</v>
      </c>
      <c r="C549" t="s">
        <v>142</v>
      </c>
      <c r="D549">
        <v>0</v>
      </c>
    </row>
    <row r="550" spans="1:8">
      <c r="A550" t="s">
        <v>143</v>
      </c>
      <c r="B550">
        <v>0</v>
      </c>
      <c r="C550" t="s">
        <v>144</v>
      </c>
      <c r="D550">
        <v>0</v>
      </c>
    </row>
    <row r="551" spans="1:8">
      <c r="A551" t="s">
        <v>145</v>
      </c>
      <c r="B551">
        <v>0</v>
      </c>
      <c r="C551" t="s">
        <v>146</v>
      </c>
      <c r="D551">
        <v>0</v>
      </c>
      <c r="E551" t="s">
        <v>169</v>
      </c>
      <c r="F551">
        <v>0</v>
      </c>
    </row>
    <row r="552" spans="1:8">
      <c r="A552" t="s">
        <v>147</v>
      </c>
    </row>
    <row r="554" spans="1:8">
      <c r="A554" t="s">
        <v>148</v>
      </c>
      <c r="C554" t="s">
        <v>149</v>
      </c>
      <c r="E554" t="s">
        <v>150</v>
      </c>
    </row>
    <row r="555" spans="1:8">
      <c r="A555" t="s">
        <v>3</v>
      </c>
      <c r="B555" t="s">
        <v>151</v>
      </c>
      <c r="C555" t="s">
        <v>3</v>
      </c>
      <c r="D555" t="s">
        <v>151</v>
      </c>
      <c r="E555" t="s">
        <v>3</v>
      </c>
      <c r="F555" t="s">
        <v>151</v>
      </c>
    </row>
    <row r="556" spans="1:8">
      <c r="A556" s="1">
        <v>40039</v>
      </c>
      <c r="B556">
        <v>-10000</v>
      </c>
      <c r="C556" s="1">
        <v>40039</v>
      </c>
      <c r="D556">
        <v>10000</v>
      </c>
    </row>
    <row r="557" spans="1:8">
      <c r="A557" s="1">
        <v>40049</v>
      </c>
      <c r="B557">
        <v>3177.14</v>
      </c>
      <c r="C557" s="1">
        <v>40049</v>
      </c>
      <c r="D557">
        <v>-3177.14</v>
      </c>
    </row>
    <row r="558" spans="1:8">
      <c r="A558" s="1">
        <v>40074</v>
      </c>
      <c r="B558">
        <v>-10.199999999999999</v>
      </c>
      <c r="C558" s="1">
        <v>40074</v>
      </c>
      <c r="D558">
        <v>10.199999999999999</v>
      </c>
    </row>
    <row r="559" spans="1:8">
      <c r="A559" s="1">
        <v>40165</v>
      </c>
      <c r="B559">
        <v>-11.28</v>
      </c>
      <c r="C559" s="1">
        <v>40165</v>
      </c>
      <c r="D559">
        <v>11.28</v>
      </c>
    </row>
    <row r="560" spans="1:8">
      <c r="A560" s="1">
        <v>40266</v>
      </c>
      <c r="B560">
        <v>2986.91</v>
      </c>
      <c r="C560" s="1">
        <v>40266</v>
      </c>
      <c r="D560">
        <v>-2986.91</v>
      </c>
    </row>
    <row r="561" spans="1:8">
      <c r="A561" s="1">
        <v>40273</v>
      </c>
      <c r="B561">
        <v>-3507.21</v>
      </c>
      <c r="C561" s="1">
        <v>40273</v>
      </c>
      <c r="D561">
        <v>3507.21</v>
      </c>
    </row>
    <row r="562" spans="1:8">
      <c r="A562" s="1">
        <v>40330</v>
      </c>
      <c r="B562">
        <v>7364.64</v>
      </c>
      <c r="C562" s="1">
        <v>40330</v>
      </c>
      <c r="D562">
        <v>0</v>
      </c>
    </row>
    <row r="564" spans="1:8">
      <c r="A564" t="s">
        <v>152</v>
      </c>
      <c r="B564">
        <v>0</v>
      </c>
      <c r="C564" t="s">
        <v>153</v>
      </c>
      <c r="D564">
        <v>0</v>
      </c>
    </row>
    <row r="567" spans="1:8">
      <c r="A567" t="s">
        <v>120</v>
      </c>
    </row>
    <row r="569" spans="1:8">
      <c r="A569" t="s">
        <v>121</v>
      </c>
      <c r="B569" t="s">
        <v>35</v>
      </c>
      <c r="C569" t="s">
        <v>122</v>
      </c>
      <c r="D569" t="s">
        <v>158</v>
      </c>
      <c r="E569" t="s">
        <v>124</v>
      </c>
      <c r="F569" t="s">
        <v>161</v>
      </c>
    </row>
    <row r="570" spans="1:8">
      <c r="A570" t="s">
        <v>126</v>
      </c>
      <c r="B570">
        <v>20090601</v>
      </c>
      <c r="C570" t="s">
        <v>127</v>
      </c>
      <c r="D570">
        <v>20100601</v>
      </c>
    </row>
    <row r="571" spans="1:8">
      <c r="A571" t="s">
        <v>128</v>
      </c>
      <c r="B571">
        <v>0</v>
      </c>
      <c r="C571" t="s">
        <v>129</v>
      </c>
      <c r="D571">
        <v>0</v>
      </c>
      <c r="E571" t="s">
        <v>130</v>
      </c>
      <c r="F571">
        <v>0</v>
      </c>
    </row>
    <row r="572" spans="1:8">
      <c r="A572" t="s">
        <v>131</v>
      </c>
      <c r="B572">
        <v>0</v>
      </c>
      <c r="C572" t="s">
        <v>132</v>
      </c>
      <c r="D572">
        <v>0</v>
      </c>
      <c r="E572" t="s">
        <v>133</v>
      </c>
      <c r="F572">
        <v>9943.3700000000008</v>
      </c>
    </row>
    <row r="573" spans="1:8">
      <c r="A573" t="s">
        <v>134</v>
      </c>
      <c r="B573">
        <v>0</v>
      </c>
      <c r="C573" t="s">
        <v>135</v>
      </c>
      <c r="D573">
        <v>7364.64</v>
      </c>
      <c r="E573" t="s">
        <v>136</v>
      </c>
      <c r="F573">
        <v>0</v>
      </c>
    </row>
    <row r="574" spans="1:8">
      <c r="A574" t="s">
        <v>137</v>
      </c>
      <c r="B574">
        <v>6164.0499999999902</v>
      </c>
      <c r="C574" t="s">
        <v>138</v>
      </c>
      <c r="D574">
        <v>-3507.21</v>
      </c>
      <c r="E574" t="s">
        <v>139</v>
      </c>
      <c r="F574">
        <v>0</v>
      </c>
      <c r="G574" t="s">
        <v>140</v>
      </c>
      <c r="H574">
        <v>0</v>
      </c>
    </row>
    <row r="575" spans="1:8">
      <c r="A575" t="s">
        <v>141</v>
      </c>
      <c r="B575">
        <v>21.479999999999901</v>
      </c>
      <c r="C575" t="s">
        <v>142</v>
      </c>
      <c r="D575">
        <v>0</v>
      </c>
    </row>
    <row r="576" spans="1:8">
      <c r="A576" t="s">
        <v>143</v>
      </c>
      <c r="B576">
        <v>2986.91</v>
      </c>
      <c r="C576" t="s">
        <v>144</v>
      </c>
      <c r="D576">
        <v>0</v>
      </c>
    </row>
    <row r="577" spans="1:6">
      <c r="A577" t="s">
        <v>145</v>
      </c>
      <c r="B577">
        <v>330.07</v>
      </c>
      <c r="C577" t="s">
        <v>146</v>
      </c>
      <c r="D577">
        <v>-408.17999999999898</v>
      </c>
      <c r="E577" t="s">
        <v>169</v>
      </c>
      <c r="F577">
        <v>-78.109999999999701</v>
      </c>
    </row>
    <row r="578" spans="1:6">
      <c r="A578" t="s">
        <v>147</v>
      </c>
    </row>
    <row r="580" spans="1:6">
      <c r="A580" t="s">
        <v>148</v>
      </c>
      <c r="C580" t="s">
        <v>149</v>
      </c>
      <c r="E580" t="s">
        <v>150</v>
      </c>
    </row>
    <row r="581" spans="1:6">
      <c r="A581" t="s">
        <v>3</v>
      </c>
      <c r="B581" t="s">
        <v>151</v>
      </c>
      <c r="C581" t="s">
        <v>3</v>
      </c>
      <c r="D581" t="s">
        <v>151</v>
      </c>
      <c r="E581" t="s">
        <v>3</v>
      </c>
      <c r="F581" t="s">
        <v>151</v>
      </c>
    </row>
    <row r="582" spans="1:6">
      <c r="A582" s="1">
        <v>40039</v>
      </c>
      <c r="B582">
        <v>-10000</v>
      </c>
      <c r="C582" s="1">
        <v>40039</v>
      </c>
      <c r="D582">
        <v>10000</v>
      </c>
      <c r="E582" s="1">
        <v>40039</v>
      </c>
      <c r="F582">
        <v>10000</v>
      </c>
    </row>
    <row r="583" spans="1:6">
      <c r="A583" s="1">
        <v>40049</v>
      </c>
      <c r="B583">
        <v>0</v>
      </c>
      <c r="C583" s="1">
        <v>40049</v>
      </c>
      <c r="D583">
        <v>0</v>
      </c>
      <c r="E583" s="1">
        <v>40049</v>
      </c>
      <c r="F583">
        <v>0</v>
      </c>
    </row>
    <row r="584" spans="1:6">
      <c r="A584" s="1">
        <v>40074</v>
      </c>
      <c r="B584">
        <v>0</v>
      </c>
      <c r="C584" s="1">
        <v>40074</v>
      </c>
      <c r="D584">
        <v>0</v>
      </c>
      <c r="E584" s="1">
        <v>40074</v>
      </c>
      <c r="F584">
        <v>0</v>
      </c>
    </row>
    <row r="585" spans="1:6">
      <c r="A585" s="1">
        <v>40165</v>
      </c>
      <c r="B585">
        <v>0</v>
      </c>
      <c r="C585" s="1">
        <v>40165</v>
      </c>
      <c r="D585">
        <v>0</v>
      </c>
      <c r="E585" s="1">
        <v>40165</v>
      </c>
      <c r="F585">
        <v>0</v>
      </c>
    </row>
    <row r="586" spans="1:6">
      <c r="A586" s="1">
        <v>40266</v>
      </c>
      <c r="B586">
        <v>0</v>
      </c>
      <c r="C586" s="1">
        <v>40266</v>
      </c>
      <c r="D586">
        <v>0</v>
      </c>
      <c r="E586" s="1">
        <v>40266</v>
      </c>
      <c r="F586">
        <v>0</v>
      </c>
    </row>
    <row r="587" spans="1:6">
      <c r="A587" s="1">
        <v>40273</v>
      </c>
      <c r="B587">
        <v>0</v>
      </c>
      <c r="C587" s="1">
        <v>40273</v>
      </c>
      <c r="D587">
        <v>0</v>
      </c>
      <c r="E587" s="1">
        <v>40273</v>
      </c>
      <c r="F587">
        <v>0</v>
      </c>
    </row>
    <row r="588" spans="1:6">
      <c r="A588" s="1">
        <v>40330</v>
      </c>
      <c r="B588">
        <v>9943.3700000000008</v>
      </c>
      <c r="C588" s="1">
        <v>40330</v>
      </c>
      <c r="D588">
        <v>0</v>
      </c>
      <c r="E588" s="1">
        <v>40330</v>
      </c>
      <c r="F588">
        <v>0</v>
      </c>
    </row>
    <row r="590" spans="1:6">
      <c r="A590" t="s">
        <v>152</v>
      </c>
      <c r="B590">
        <v>-5.6629999999999198E-3</v>
      </c>
      <c r="C590" t="s">
        <v>153</v>
      </c>
      <c r="D590">
        <v>-7.0979539012335701E-3</v>
      </c>
    </row>
    <row r="593" spans="1:8">
      <c r="A593" t="s">
        <v>120</v>
      </c>
    </row>
    <row r="595" spans="1:8">
      <c r="A595" t="s">
        <v>121</v>
      </c>
      <c r="B595" t="s">
        <v>163</v>
      </c>
      <c r="C595" t="s">
        <v>122</v>
      </c>
      <c r="D595" t="s">
        <v>164</v>
      </c>
      <c r="E595" t="s">
        <v>124</v>
      </c>
      <c r="F595" t="s">
        <v>165</v>
      </c>
    </row>
    <row r="596" spans="1:8">
      <c r="A596" t="s">
        <v>126</v>
      </c>
      <c r="B596">
        <v>20090601</v>
      </c>
      <c r="C596" t="s">
        <v>127</v>
      </c>
      <c r="D596">
        <v>20100601</v>
      </c>
    </row>
    <row r="597" spans="1:8">
      <c r="A597" t="s">
        <v>128</v>
      </c>
      <c r="B597">
        <v>0</v>
      </c>
      <c r="C597" t="s">
        <v>129</v>
      </c>
      <c r="D597">
        <v>0</v>
      </c>
      <c r="E597" t="s">
        <v>130</v>
      </c>
      <c r="F597">
        <v>24355.898701515998</v>
      </c>
    </row>
    <row r="598" spans="1:8">
      <c r="A598" t="s">
        <v>131</v>
      </c>
      <c r="B598">
        <v>0</v>
      </c>
      <c r="C598" t="s">
        <v>132</v>
      </c>
      <c r="D598">
        <v>0</v>
      </c>
      <c r="E598" t="s">
        <v>133</v>
      </c>
      <c r="F598">
        <v>13727.770339999999</v>
      </c>
    </row>
    <row r="599" spans="1:8">
      <c r="A599" t="s">
        <v>134</v>
      </c>
      <c r="B599">
        <v>-21826.82</v>
      </c>
      <c r="C599" t="s">
        <v>135</v>
      </c>
      <c r="D599">
        <v>-8430.5299999999897</v>
      </c>
      <c r="E599" t="s">
        <v>136</v>
      </c>
      <c r="F599">
        <v>24034.68</v>
      </c>
    </row>
    <row r="600" spans="1:8">
      <c r="A600" t="s">
        <v>137</v>
      </c>
      <c r="B600">
        <v>13101.9299999999</v>
      </c>
      <c r="C600" t="s">
        <v>138</v>
      </c>
      <c r="D600">
        <v>-25232.95</v>
      </c>
      <c r="E600" t="s">
        <v>139</v>
      </c>
      <c r="F600">
        <v>-424.11</v>
      </c>
      <c r="G600" t="s">
        <v>140</v>
      </c>
      <c r="H600">
        <v>165.31</v>
      </c>
    </row>
    <row r="601" spans="1:8">
      <c r="A601" t="s">
        <v>141</v>
      </c>
      <c r="B601">
        <v>428.41</v>
      </c>
      <c r="C601" t="s">
        <v>142</v>
      </c>
      <c r="D601">
        <v>-3.76</v>
      </c>
    </row>
    <row r="602" spans="1:8">
      <c r="A602" t="s">
        <v>143</v>
      </c>
      <c r="B602">
        <v>14445.68</v>
      </c>
      <c r="C602" t="s">
        <v>144</v>
      </c>
      <c r="D602">
        <v>-305.75372093023202</v>
      </c>
    </row>
    <row r="603" spans="1:8">
      <c r="A603" t="s">
        <v>145</v>
      </c>
      <c r="B603">
        <v>4702.9262790697603</v>
      </c>
      <c r="C603" t="s">
        <v>146</v>
      </c>
      <c r="D603">
        <v>-2941.2346405858202</v>
      </c>
      <c r="E603" t="s">
        <v>169</v>
      </c>
      <c r="F603">
        <v>1761.6916384839301</v>
      </c>
    </row>
    <row r="604" spans="1:8">
      <c r="A604" t="s">
        <v>147</v>
      </c>
    </row>
    <row r="606" spans="1:8">
      <c r="A606" t="s">
        <v>148</v>
      </c>
      <c r="C606" t="s">
        <v>149</v>
      </c>
      <c r="E606" t="s">
        <v>150</v>
      </c>
    </row>
    <row r="607" spans="1:8">
      <c r="A607" t="s">
        <v>3</v>
      </c>
      <c r="B607" t="s">
        <v>151</v>
      </c>
      <c r="C607" t="s">
        <v>3</v>
      </c>
      <c r="D607" t="s">
        <v>151</v>
      </c>
      <c r="E607" t="s">
        <v>3</v>
      </c>
      <c r="F607" t="s">
        <v>151</v>
      </c>
    </row>
    <row r="608" spans="1:8">
      <c r="A608" s="1">
        <v>39965</v>
      </c>
      <c r="B608">
        <v>0</v>
      </c>
      <c r="C608" s="1">
        <v>39965</v>
      </c>
      <c r="D608">
        <v>0</v>
      </c>
      <c r="E608" s="1">
        <v>40049</v>
      </c>
      <c r="F608">
        <v>0</v>
      </c>
    </row>
    <row r="609" spans="1:6">
      <c r="A609" s="1">
        <v>40049</v>
      </c>
      <c r="B609">
        <v>-3177.14</v>
      </c>
      <c r="C609" s="1">
        <v>40049</v>
      </c>
      <c r="D609">
        <v>3177.14</v>
      </c>
      <c r="E609" s="1">
        <v>40074</v>
      </c>
      <c r="F609">
        <v>0</v>
      </c>
    </row>
    <row r="610" spans="1:6">
      <c r="A610" s="1">
        <v>40074</v>
      </c>
      <c r="B610">
        <v>10.199999999999999</v>
      </c>
      <c r="C610" s="1">
        <v>40074</v>
      </c>
      <c r="D610">
        <v>0</v>
      </c>
      <c r="E610" s="1">
        <v>40165</v>
      </c>
      <c r="F610">
        <v>0</v>
      </c>
    </row>
    <row r="611" spans="1:6">
      <c r="A611" s="1">
        <v>40165</v>
      </c>
      <c r="B611">
        <v>11.28</v>
      </c>
      <c r="C611" s="1">
        <v>40165</v>
      </c>
      <c r="D611">
        <v>0</v>
      </c>
      <c r="E611" s="1">
        <v>40177</v>
      </c>
      <c r="F611">
        <v>0</v>
      </c>
    </row>
    <row r="612" spans="1:6">
      <c r="A612" s="1">
        <v>40177</v>
      </c>
      <c r="B612">
        <v>0</v>
      </c>
      <c r="C612" s="1">
        <v>40177</v>
      </c>
      <c r="D612">
        <v>302.11</v>
      </c>
      <c r="E612" s="1">
        <v>40186</v>
      </c>
      <c r="F612">
        <v>911.1</v>
      </c>
    </row>
    <row r="613" spans="1:6">
      <c r="A613" s="1">
        <v>40186</v>
      </c>
      <c r="B613">
        <v>-911.1</v>
      </c>
      <c r="C613" s="1">
        <v>40186</v>
      </c>
      <c r="D613">
        <v>911.1</v>
      </c>
      <c r="E613" s="1">
        <v>40187</v>
      </c>
      <c r="F613">
        <v>0</v>
      </c>
    </row>
    <row r="614" spans="1:6">
      <c r="A614" s="1">
        <v>40187</v>
      </c>
      <c r="B614">
        <v>16.32</v>
      </c>
      <c r="C614" s="1">
        <v>40187</v>
      </c>
      <c r="D614">
        <v>-16.32</v>
      </c>
      <c r="E614" s="1">
        <v>40211</v>
      </c>
      <c r="F614">
        <v>0</v>
      </c>
    </row>
    <row r="615" spans="1:6">
      <c r="A615" s="1">
        <v>40211</v>
      </c>
      <c r="B615">
        <v>-3797</v>
      </c>
      <c r="C615" s="1">
        <v>40211</v>
      </c>
      <c r="D615">
        <v>3797</v>
      </c>
      <c r="E615" s="1">
        <v>40219</v>
      </c>
      <c r="F615">
        <v>0</v>
      </c>
    </row>
    <row r="616" spans="1:6">
      <c r="A616" s="1">
        <v>40219</v>
      </c>
      <c r="B616">
        <v>151.18</v>
      </c>
      <c r="C616" s="1">
        <v>40219</v>
      </c>
      <c r="D616">
        <v>-151.18</v>
      </c>
      <c r="E616" s="1">
        <v>40248</v>
      </c>
      <c r="F616">
        <v>0</v>
      </c>
    </row>
    <row r="617" spans="1:6">
      <c r="A617" s="1">
        <v>40248</v>
      </c>
      <c r="B617">
        <v>-223.98999999999899</v>
      </c>
      <c r="C617" s="1">
        <v>40248</v>
      </c>
      <c r="D617">
        <v>223.98999999999899</v>
      </c>
      <c r="E617" s="1">
        <v>40252</v>
      </c>
      <c r="F617">
        <v>0</v>
      </c>
    </row>
    <row r="618" spans="1:6">
      <c r="A618" s="1">
        <v>40252</v>
      </c>
      <c r="B618">
        <v>-1434.8</v>
      </c>
      <c r="C618" s="1">
        <v>40252</v>
      </c>
      <c r="D618">
        <v>1434.8</v>
      </c>
      <c r="E618" s="1">
        <v>40265</v>
      </c>
      <c r="F618">
        <v>0</v>
      </c>
    </row>
    <row r="619" spans="1:6">
      <c r="A619" s="1">
        <v>40265</v>
      </c>
      <c r="B619">
        <v>7.61</v>
      </c>
      <c r="C619" s="1">
        <v>40265</v>
      </c>
      <c r="D619">
        <v>0</v>
      </c>
      <c r="E619" s="1">
        <v>40266</v>
      </c>
      <c r="F619">
        <v>0</v>
      </c>
    </row>
    <row r="620" spans="1:6">
      <c r="A620" s="1">
        <v>40266</v>
      </c>
      <c r="B620">
        <v>-2889.7</v>
      </c>
      <c r="C620" s="1">
        <v>40266</v>
      </c>
      <c r="D620">
        <v>2986.91</v>
      </c>
      <c r="E620" s="1">
        <v>40268</v>
      </c>
      <c r="F620">
        <v>0</v>
      </c>
    </row>
    <row r="621" spans="1:6">
      <c r="A621" s="1">
        <v>40268</v>
      </c>
      <c r="B621">
        <v>-12.27</v>
      </c>
      <c r="C621" s="1">
        <v>40268</v>
      </c>
      <c r="D621">
        <v>12.27</v>
      </c>
      <c r="E621" s="1">
        <v>40273</v>
      </c>
      <c r="F621">
        <v>0</v>
      </c>
    </row>
    <row r="622" spans="1:6">
      <c r="A622" s="1">
        <v>40273</v>
      </c>
      <c r="B622">
        <v>3507.21</v>
      </c>
      <c r="C622" s="1">
        <v>40273</v>
      </c>
      <c r="D622">
        <v>-3507.21</v>
      </c>
      <c r="E622" s="1">
        <v>40276</v>
      </c>
      <c r="F622">
        <v>0</v>
      </c>
    </row>
    <row r="623" spans="1:6">
      <c r="A623" s="1">
        <v>40276</v>
      </c>
      <c r="B623">
        <v>-3.76</v>
      </c>
      <c r="C623" s="1">
        <v>40276</v>
      </c>
      <c r="D623">
        <v>0</v>
      </c>
      <c r="E623" s="1">
        <v>40283</v>
      </c>
      <c r="F623">
        <v>0</v>
      </c>
    </row>
    <row r="624" spans="1:6">
      <c r="A624" s="1">
        <v>40283</v>
      </c>
      <c r="B624">
        <v>927</v>
      </c>
      <c r="C624" s="1">
        <v>40283</v>
      </c>
      <c r="D624">
        <v>-927</v>
      </c>
      <c r="E624" s="1">
        <v>40296</v>
      </c>
      <c r="F624">
        <v>-329.28</v>
      </c>
    </row>
    <row r="625" spans="1:8">
      <c r="A625" s="1">
        <v>40296</v>
      </c>
      <c r="B625">
        <v>163.969999999999</v>
      </c>
      <c r="C625" s="1">
        <v>40296</v>
      </c>
      <c r="D625">
        <v>-163.969999999999</v>
      </c>
      <c r="E625" s="1">
        <v>40301</v>
      </c>
      <c r="F625">
        <v>0</v>
      </c>
    </row>
    <row r="626" spans="1:8">
      <c r="A626" s="1">
        <v>40301</v>
      </c>
      <c r="B626">
        <v>18012.400000000001</v>
      </c>
      <c r="C626" s="1">
        <v>40301</v>
      </c>
      <c r="D626">
        <v>-18012.400000000001</v>
      </c>
      <c r="E626" s="1">
        <v>40312</v>
      </c>
      <c r="F626">
        <v>0</v>
      </c>
    </row>
    <row r="627" spans="1:8">
      <c r="A627" s="1">
        <v>40312</v>
      </c>
      <c r="B627">
        <v>2457.06</v>
      </c>
      <c r="C627" s="1">
        <v>40312</v>
      </c>
      <c r="D627">
        <v>-2457.06</v>
      </c>
    </row>
    <row r="628" spans="1:8">
      <c r="A628" s="1">
        <v>40330</v>
      </c>
      <c r="B628">
        <v>0</v>
      </c>
      <c r="C628" s="1">
        <v>40330</v>
      </c>
      <c r="D628">
        <v>0</v>
      </c>
    </row>
    <row r="630" spans="1:8">
      <c r="A630" t="s">
        <v>152</v>
      </c>
      <c r="B630">
        <v>8.06124977466708E-2</v>
      </c>
      <c r="C630" t="s">
        <v>153</v>
      </c>
      <c r="D630">
        <v>8.1113380836497606E-2</v>
      </c>
    </row>
    <row r="633" spans="1:8">
      <c r="A633" t="s">
        <v>120</v>
      </c>
    </row>
    <row r="635" spans="1:8">
      <c r="A635" t="s">
        <v>121</v>
      </c>
      <c r="B635" t="s">
        <v>163</v>
      </c>
      <c r="C635" t="s">
        <v>122</v>
      </c>
      <c r="D635" t="s">
        <v>164</v>
      </c>
      <c r="E635" t="s">
        <v>124</v>
      </c>
      <c r="F635" t="s">
        <v>166</v>
      </c>
    </row>
    <row r="636" spans="1:8">
      <c r="A636" t="s">
        <v>126</v>
      </c>
      <c r="B636">
        <v>20090601</v>
      </c>
      <c r="C636" t="s">
        <v>127</v>
      </c>
      <c r="D636">
        <v>20100601</v>
      </c>
    </row>
    <row r="637" spans="1:8">
      <c r="A637" t="s">
        <v>128</v>
      </c>
      <c r="B637">
        <v>16481.8</v>
      </c>
      <c r="C637" t="s">
        <v>129</v>
      </c>
      <c r="D637">
        <v>0</v>
      </c>
      <c r="E637" t="s">
        <v>130</v>
      </c>
      <c r="F637">
        <v>16481.8</v>
      </c>
    </row>
    <row r="638" spans="1:8">
      <c r="A638" t="s">
        <v>131</v>
      </c>
      <c r="B638">
        <v>40577.93</v>
      </c>
      <c r="C638" t="s">
        <v>132</v>
      </c>
      <c r="D638">
        <v>0</v>
      </c>
      <c r="E638" t="s">
        <v>133</v>
      </c>
      <c r="F638">
        <v>40577.93</v>
      </c>
    </row>
    <row r="639" spans="1:8">
      <c r="A639" t="s">
        <v>134</v>
      </c>
      <c r="B639">
        <v>0</v>
      </c>
      <c r="C639" t="s">
        <v>135</v>
      </c>
      <c r="D639">
        <v>0</v>
      </c>
      <c r="E639" t="s">
        <v>136</v>
      </c>
      <c r="F639">
        <v>0</v>
      </c>
    </row>
    <row r="640" spans="1:8">
      <c r="A640" t="s">
        <v>137</v>
      </c>
      <c r="B640">
        <v>0</v>
      </c>
      <c r="C640" t="s">
        <v>138</v>
      </c>
      <c r="D640">
        <v>0</v>
      </c>
      <c r="E640" t="s">
        <v>139</v>
      </c>
      <c r="F640">
        <v>0</v>
      </c>
      <c r="G640" t="s">
        <v>140</v>
      </c>
      <c r="H640">
        <v>0</v>
      </c>
    </row>
    <row r="641" spans="1:6">
      <c r="A641" t="s">
        <v>141</v>
      </c>
      <c r="B641">
        <v>78.459999999999994</v>
      </c>
      <c r="C641" t="s">
        <v>142</v>
      </c>
      <c r="D641">
        <v>0</v>
      </c>
    </row>
    <row r="642" spans="1:6">
      <c r="A642" t="s">
        <v>143</v>
      </c>
      <c r="B642">
        <v>0</v>
      </c>
      <c r="C642" t="s">
        <v>144</v>
      </c>
      <c r="D642">
        <v>0</v>
      </c>
    </row>
    <row r="643" spans="1:6">
      <c r="A643" t="s">
        <v>145</v>
      </c>
      <c r="B643">
        <v>0</v>
      </c>
      <c r="C643" t="s">
        <v>146</v>
      </c>
      <c r="D643">
        <v>0</v>
      </c>
      <c r="E643" t="s">
        <v>169</v>
      </c>
      <c r="F643">
        <v>0</v>
      </c>
    </row>
    <row r="644" spans="1:6">
      <c r="A644" t="s">
        <v>147</v>
      </c>
    </row>
    <row r="646" spans="1:6">
      <c r="A646" t="s">
        <v>148</v>
      </c>
      <c r="C646" t="s">
        <v>149</v>
      </c>
      <c r="E646" t="s">
        <v>150</v>
      </c>
    </row>
    <row r="647" spans="1:6">
      <c r="A647" t="s">
        <v>3</v>
      </c>
      <c r="B647" t="s">
        <v>151</v>
      </c>
      <c r="C647" t="s">
        <v>3</v>
      </c>
      <c r="D647" t="s">
        <v>151</v>
      </c>
      <c r="E647" t="s">
        <v>3</v>
      </c>
      <c r="F647" t="s">
        <v>151</v>
      </c>
    </row>
    <row r="648" spans="1:6">
      <c r="A648" s="1">
        <v>39965</v>
      </c>
      <c r="B648">
        <v>-16481.8</v>
      </c>
      <c r="C648" s="1">
        <v>39965</v>
      </c>
      <c r="D648">
        <v>0</v>
      </c>
    </row>
    <row r="649" spans="1:6">
      <c r="A649" s="1">
        <v>40039</v>
      </c>
      <c r="B649">
        <v>-10000</v>
      </c>
      <c r="C649" s="1">
        <v>40039</v>
      </c>
      <c r="D649">
        <v>10000</v>
      </c>
    </row>
    <row r="650" spans="1:6">
      <c r="A650" s="1">
        <v>40049</v>
      </c>
      <c r="B650">
        <v>3177.14</v>
      </c>
      <c r="C650" s="1">
        <v>40049</v>
      </c>
      <c r="D650">
        <v>-3177.14</v>
      </c>
    </row>
    <row r="651" spans="1:6">
      <c r="A651" s="1">
        <v>40074</v>
      </c>
      <c r="B651">
        <v>-10.199999999999999</v>
      </c>
      <c r="C651" s="1">
        <v>40074</v>
      </c>
      <c r="D651">
        <v>10.199999999999999</v>
      </c>
    </row>
    <row r="652" spans="1:6">
      <c r="A652" s="1">
        <v>40165</v>
      </c>
      <c r="B652">
        <v>-11.28</v>
      </c>
      <c r="C652" s="1">
        <v>40165</v>
      </c>
      <c r="D652">
        <v>11.28</v>
      </c>
    </row>
    <row r="653" spans="1:6">
      <c r="A653" s="1">
        <v>40177</v>
      </c>
      <c r="B653">
        <v>0</v>
      </c>
      <c r="C653" s="1">
        <v>40177</v>
      </c>
      <c r="D653">
        <v>0</v>
      </c>
    </row>
    <row r="654" spans="1:6">
      <c r="A654" s="1">
        <v>40178</v>
      </c>
      <c r="B654">
        <v>22.12</v>
      </c>
      <c r="C654" s="1">
        <v>40178</v>
      </c>
      <c r="D654">
        <v>0</v>
      </c>
    </row>
    <row r="655" spans="1:6">
      <c r="A655" s="1">
        <v>40186</v>
      </c>
      <c r="B655">
        <v>0</v>
      </c>
      <c r="C655" s="1">
        <v>40186</v>
      </c>
      <c r="D655">
        <v>0</v>
      </c>
    </row>
    <row r="656" spans="1:6">
      <c r="A656" s="1">
        <v>40187</v>
      </c>
      <c r="B656">
        <v>-16.32</v>
      </c>
      <c r="C656" s="1">
        <v>40187</v>
      </c>
      <c r="D656">
        <v>16.32</v>
      </c>
    </row>
    <row r="657" spans="1:4">
      <c r="A657" s="1">
        <v>40211</v>
      </c>
      <c r="B657">
        <v>3797</v>
      </c>
      <c r="C657" s="1">
        <v>40211</v>
      </c>
      <c r="D657">
        <v>-3797</v>
      </c>
    </row>
    <row r="658" spans="1:4">
      <c r="A658" s="1">
        <v>40219</v>
      </c>
      <c r="B658">
        <v>-151.18</v>
      </c>
      <c r="C658" s="1">
        <v>40219</v>
      </c>
      <c r="D658">
        <v>151.18</v>
      </c>
    </row>
    <row r="659" spans="1:4">
      <c r="A659" s="1">
        <v>40248</v>
      </c>
      <c r="B659">
        <v>223.98999999999899</v>
      </c>
      <c r="C659" s="1">
        <v>40248</v>
      </c>
      <c r="D659">
        <v>-223.98999999999899</v>
      </c>
    </row>
    <row r="660" spans="1:4">
      <c r="A660" s="1">
        <v>40252</v>
      </c>
      <c r="B660">
        <v>1434.8</v>
      </c>
      <c r="C660" s="1">
        <v>40252</v>
      </c>
      <c r="D660">
        <v>-1434.8</v>
      </c>
    </row>
    <row r="661" spans="1:4">
      <c r="A661" s="1">
        <v>40265</v>
      </c>
      <c r="B661">
        <v>-7.61</v>
      </c>
      <c r="C661" s="1">
        <v>40265</v>
      </c>
      <c r="D661">
        <v>7.61</v>
      </c>
    </row>
    <row r="662" spans="1:4">
      <c r="A662" s="1">
        <v>40266</v>
      </c>
      <c r="B662">
        <v>2889.7</v>
      </c>
      <c r="C662" s="1">
        <v>40266</v>
      </c>
      <c r="D662">
        <v>-2889.7</v>
      </c>
    </row>
    <row r="663" spans="1:4">
      <c r="A663" s="1">
        <v>40268</v>
      </c>
      <c r="B663">
        <v>12.27</v>
      </c>
      <c r="C663" s="1">
        <v>40268</v>
      </c>
      <c r="D663">
        <v>-12.27</v>
      </c>
    </row>
    <row r="664" spans="1:4">
      <c r="A664" s="1">
        <v>40269</v>
      </c>
      <c r="B664">
        <v>-621.38</v>
      </c>
      <c r="C664" s="1">
        <v>40269</v>
      </c>
      <c r="D664">
        <v>621.38</v>
      </c>
    </row>
    <row r="665" spans="1:4">
      <c r="A665" s="1">
        <v>40273</v>
      </c>
      <c r="B665">
        <v>-3507.21</v>
      </c>
      <c r="C665" s="1">
        <v>40273</v>
      </c>
      <c r="D665">
        <v>3507.21</v>
      </c>
    </row>
    <row r="666" spans="1:4">
      <c r="A666" s="1">
        <v>40276</v>
      </c>
      <c r="B666">
        <v>3.76</v>
      </c>
      <c r="C666" s="1">
        <v>40276</v>
      </c>
      <c r="D666">
        <v>-3.76</v>
      </c>
    </row>
    <row r="667" spans="1:4">
      <c r="A667" s="1">
        <v>40283</v>
      </c>
      <c r="B667">
        <v>-927</v>
      </c>
      <c r="C667" s="1">
        <v>40283</v>
      </c>
      <c r="D667">
        <v>927</v>
      </c>
    </row>
    <row r="668" spans="1:4">
      <c r="A668" s="1">
        <v>40296</v>
      </c>
      <c r="B668">
        <v>165.31</v>
      </c>
      <c r="C668" s="1">
        <v>40296</v>
      </c>
      <c r="D668">
        <v>-165.31</v>
      </c>
    </row>
    <row r="669" spans="1:4">
      <c r="A669" s="1">
        <v>40301</v>
      </c>
      <c r="B669">
        <v>-18012.400000000001</v>
      </c>
      <c r="C669" s="1">
        <v>40301</v>
      </c>
      <c r="D669">
        <v>18012.400000000001</v>
      </c>
    </row>
    <row r="670" spans="1:4">
      <c r="A670" s="1">
        <v>40311</v>
      </c>
      <c r="B670">
        <v>56.34</v>
      </c>
      <c r="C670" s="1">
        <v>40311</v>
      </c>
      <c r="D670">
        <v>0</v>
      </c>
    </row>
    <row r="671" spans="1:4">
      <c r="A671" s="1">
        <v>40312</v>
      </c>
      <c r="B671">
        <v>-2457.06</v>
      </c>
      <c r="C671" s="1">
        <v>40312</v>
      </c>
      <c r="D671">
        <v>2457.06</v>
      </c>
    </row>
    <row r="672" spans="1:4">
      <c r="A672" s="1">
        <v>40330</v>
      </c>
      <c r="B672">
        <v>40577.93</v>
      </c>
      <c r="C672" s="1">
        <v>40330</v>
      </c>
      <c r="D672">
        <v>0</v>
      </c>
    </row>
    <row r="674" spans="1:8">
      <c r="A674" t="s">
        <v>152</v>
      </c>
      <c r="B674">
        <v>7.0437084987630197E-3</v>
      </c>
      <c r="C674" t="s">
        <v>153</v>
      </c>
      <c r="D674">
        <v>7.04935588074384E-3</v>
      </c>
    </row>
    <row r="677" spans="1:8">
      <c r="A677" t="s">
        <v>120</v>
      </c>
    </row>
    <row r="679" spans="1:8">
      <c r="A679" t="s">
        <v>121</v>
      </c>
      <c r="B679" t="s">
        <v>163</v>
      </c>
      <c r="C679" t="s">
        <v>122</v>
      </c>
      <c r="D679" t="s">
        <v>164</v>
      </c>
      <c r="E679" t="s">
        <v>124</v>
      </c>
      <c r="F679" t="s">
        <v>167</v>
      </c>
    </row>
    <row r="680" spans="1:8">
      <c r="A680" t="s">
        <v>126</v>
      </c>
      <c r="B680">
        <v>20090601</v>
      </c>
      <c r="C680" t="s">
        <v>127</v>
      </c>
      <c r="D680">
        <v>20100601</v>
      </c>
    </row>
    <row r="681" spans="1:8">
      <c r="A681" t="s">
        <v>128</v>
      </c>
      <c r="B681">
        <v>0</v>
      </c>
      <c r="C681" t="s">
        <v>129</v>
      </c>
      <c r="D681">
        <v>0</v>
      </c>
      <c r="E681" t="s">
        <v>130</v>
      </c>
      <c r="F681">
        <v>40837.698701515998</v>
      </c>
    </row>
    <row r="682" spans="1:8">
      <c r="A682" t="s">
        <v>131</v>
      </c>
      <c r="B682">
        <v>0</v>
      </c>
      <c r="C682" t="s">
        <v>132</v>
      </c>
      <c r="D682">
        <v>0</v>
      </c>
      <c r="E682" t="s">
        <v>133</v>
      </c>
      <c r="F682">
        <v>54305.700340000003</v>
      </c>
    </row>
    <row r="683" spans="1:8">
      <c r="A683" t="s">
        <v>134</v>
      </c>
      <c r="B683">
        <v>-7552.8799999999901</v>
      </c>
      <c r="C683" t="s">
        <v>135</v>
      </c>
      <c r="D683">
        <v>16543.25</v>
      </c>
      <c r="E683" t="s">
        <v>136</v>
      </c>
      <c r="F683">
        <v>0</v>
      </c>
    </row>
    <row r="684" spans="1:8">
      <c r="A684" t="s">
        <v>137</v>
      </c>
      <c r="B684">
        <v>13101.9299999999</v>
      </c>
      <c r="C684" t="s">
        <v>138</v>
      </c>
      <c r="D684">
        <v>-25232.95</v>
      </c>
      <c r="E684" t="s">
        <v>139</v>
      </c>
      <c r="F684">
        <v>-424.11</v>
      </c>
      <c r="G684" t="s">
        <v>140</v>
      </c>
      <c r="H684">
        <v>165.31</v>
      </c>
    </row>
    <row r="685" spans="1:8">
      <c r="A685" t="s">
        <v>141</v>
      </c>
      <c r="B685">
        <v>506.87</v>
      </c>
      <c r="C685" t="s">
        <v>142</v>
      </c>
      <c r="D685">
        <v>-3.76</v>
      </c>
    </row>
    <row r="686" spans="1:8">
      <c r="A686" t="s">
        <v>143</v>
      </c>
      <c r="B686">
        <v>14445.68</v>
      </c>
      <c r="C686" t="s">
        <v>144</v>
      </c>
      <c r="D686">
        <v>-305.75372093023202</v>
      </c>
    </row>
    <row r="687" spans="1:8">
      <c r="A687" t="s">
        <v>145</v>
      </c>
      <c r="B687">
        <v>4702.9262790697603</v>
      </c>
      <c r="C687" t="s">
        <v>146</v>
      </c>
      <c r="D687">
        <v>-2941.2346405858202</v>
      </c>
      <c r="E687" t="s">
        <v>169</v>
      </c>
      <c r="F687">
        <v>1761.6916384839301</v>
      </c>
    </row>
    <row r="688" spans="1:8">
      <c r="A688" t="s">
        <v>147</v>
      </c>
    </row>
    <row r="690" spans="1:6">
      <c r="A690" t="s">
        <v>148</v>
      </c>
      <c r="C690" t="s">
        <v>149</v>
      </c>
      <c r="E690" t="s">
        <v>150</v>
      </c>
    </row>
    <row r="691" spans="1:6">
      <c r="A691" t="s">
        <v>3</v>
      </c>
      <c r="B691" t="s">
        <v>151</v>
      </c>
      <c r="C691" t="s">
        <v>3</v>
      </c>
      <c r="D691" t="s">
        <v>151</v>
      </c>
      <c r="E691" t="s">
        <v>3</v>
      </c>
      <c r="F691" t="s">
        <v>151</v>
      </c>
    </row>
    <row r="692" spans="1:6">
      <c r="A692" s="1">
        <v>39965</v>
      </c>
      <c r="B692">
        <v>-40837.698701515998</v>
      </c>
      <c r="C692" s="1">
        <v>39965</v>
      </c>
      <c r="D692">
        <v>0</v>
      </c>
      <c r="E692" s="1">
        <v>39965</v>
      </c>
      <c r="F692">
        <v>0</v>
      </c>
    </row>
    <row r="693" spans="1:6">
      <c r="A693" s="1">
        <v>40039</v>
      </c>
      <c r="B693">
        <v>-10000</v>
      </c>
      <c r="C693" s="1">
        <v>40039</v>
      </c>
      <c r="D693">
        <v>10000</v>
      </c>
      <c r="E693" s="1">
        <v>40039</v>
      </c>
      <c r="F693">
        <v>10000</v>
      </c>
    </row>
    <row r="694" spans="1:6">
      <c r="A694" s="1">
        <v>40049</v>
      </c>
      <c r="B694">
        <v>0</v>
      </c>
      <c r="C694" s="1">
        <v>40049</v>
      </c>
      <c r="D694">
        <v>0</v>
      </c>
      <c r="E694" s="1">
        <v>40049</v>
      </c>
      <c r="F694">
        <v>0</v>
      </c>
    </row>
    <row r="695" spans="1:6">
      <c r="A695" s="1">
        <v>40074</v>
      </c>
      <c r="B695">
        <v>0</v>
      </c>
      <c r="C695" s="1">
        <v>40074</v>
      </c>
      <c r="D695">
        <v>0</v>
      </c>
      <c r="E695" s="1">
        <v>40074</v>
      </c>
      <c r="F695">
        <v>0</v>
      </c>
    </row>
    <row r="696" spans="1:6">
      <c r="A696" s="1">
        <v>40165</v>
      </c>
      <c r="B696">
        <v>0</v>
      </c>
      <c r="C696" s="1">
        <v>40165</v>
      </c>
      <c r="D696">
        <v>0</v>
      </c>
      <c r="E696" s="1">
        <v>40165</v>
      </c>
      <c r="F696">
        <v>0</v>
      </c>
    </row>
    <row r="697" spans="1:6">
      <c r="A697" s="1">
        <v>40177</v>
      </c>
      <c r="B697">
        <v>0</v>
      </c>
      <c r="C697" s="1">
        <v>40177</v>
      </c>
      <c r="D697">
        <v>0</v>
      </c>
      <c r="E697" s="1">
        <v>40177</v>
      </c>
      <c r="F697">
        <v>0</v>
      </c>
    </row>
    <row r="698" spans="1:6">
      <c r="A698" s="1">
        <v>40178</v>
      </c>
      <c r="B698">
        <v>0</v>
      </c>
      <c r="C698" s="1">
        <v>40178</v>
      </c>
      <c r="D698">
        <v>0</v>
      </c>
      <c r="E698" s="1">
        <v>40178</v>
      </c>
      <c r="F698">
        <v>0</v>
      </c>
    </row>
    <row r="699" spans="1:6">
      <c r="A699" s="1">
        <v>40186</v>
      </c>
      <c r="B699">
        <v>-911.1</v>
      </c>
      <c r="C699" s="1">
        <v>40186</v>
      </c>
      <c r="D699">
        <v>911.1</v>
      </c>
      <c r="E699" s="1">
        <v>40186</v>
      </c>
      <c r="F699">
        <v>911.1</v>
      </c>
    </row>
    <row r="700" spans="1:6">
      <c r="A700" s="1">
        <v>40187</v>
      </c>
      <c r="B700">
        <v>0</v>
      </c>
      <c r="C700" s="1">
        <v>40187</v>
      </c>
      <c r="D700">
        <v>0</v>
      </c>
      <c r="E700" s="1">
        <v>40187</v>
      </c>
      <c r="F700">
        <v>0</v>
      </c>
    </row>
    <row r="701" spans="1:6">
      <c r="A701" s="1">
        <v>40211</v>
      </c>
      <c r="B701">
        <v>0</v>
      </c>
      <c r="C701" s="1">
        <v>40211</v>
      </c>
      <c r="D701">
        <v>0</v>
      </c>
      <c r="E701" s="1">
        <v>40211</v>
      </c>
      <c r="F701">
        <v>0</v>
      </c>
    </row>
    <row r="702" spans="1:6">
      <c r="A702" s="1">
        <v>40219</v>
      </c>
      <c r="B702">
        <v>0</v>
      </c>
      <c r="C702" s="1">
        <v>40219</v>
      </c>
      <c r="D702">
        <v>0</v>
      </c>
      <c r="E702" s="1">
        <v>40219</v>
      </c>
      <c r="F702">
        <v>0</v>
      </c>
    </row>
    <row r="703" spans="1:6">
      <c r="A703" s="1">
        <v>40248</v>
      </c>
      <c r="B703">
        <v>0</v>
      </c>
      <c r="C703" s="1">
        <v>40248</v>
      </c>
      <c r="D703">
        <v>0</v>
      </c>
      <c r="E703" s="1">
        <v>40248</v>
      </c>
      <c r="F703">
        <v>0</v>
      </c>
    </row>
    <row r="704" spans="1:6">
      <c r="A704" s="1">
        <v>40252</v>
      </c>
      <c r="B704">
        <v>0</v>
      </c>
      <c r="C704" s="1">
        <v>40252</v>
      </c>
      <c r="D704">
        <v>0</v>
      </c>
      <c r="E704" s="1">
        <v>40252</v>
      </c>
      <c r="F704">
        <v>0</v>
      </c>
    </row>
    <row r="705" spans="1:6">
      <c r="A705" s="1">
        <v>40265</v>
      </c>
      <c r="B705">
        <v>0</v>
      </c>
      <c r="C705" s="1">
        <v>40265</v>
      </c>
      <c r="D705">
        <v>0</v>
      </c>
      <c r="E705" s="1">
        <v>40265</v>
      </c>
      <c r="F705">
        <v>0</v>
      </c>
    </row>
    <row r="706" spans="1:6">
      <c r="A706" s="1">
        <v>40266</v>
      </c>
      <c r="B706">
        <v>0</v>
      </c>
      <c r="C706" s="1">
        <v>40266</v>
      </c>
      <c r="D706">
        <v>0</v>
      </c>
      <c r="E706" s="1">
        <v>40266</v>
      </c>
      <c r="F706">
        <v>0</v>
      </c>
    </row>
    <row r="707" spans="1:6">
      <c r="A707" s="1">
        <v>40268</v>
      </c>
      <c r="B707">
        <v>0</v>
      </c>
      <c r="C707" s="1">
        <v>40268</v>
      </c>
      <c r="D707">
        <v>0</v>
      </c>
      <c r="E707" s="1">
        <v>40268</v>
      </c>
      <c r="F707">
        <v>0</v>
      </c>
    </row>
    <row r="708" spans="1:6">
      <c r="A708" s="1">
        <v>40269</v>
      </c>
      <c r="B708">
        <v>-621.38</v>
      </c>
      <c r="C708" s="1">
        <v>40269</v>
      </c>
      <c r="D708">
        <v>621.38</v>
      </c>
      <c r="E708" s="1">
        <v>40269</v>
      </c>
      <c r="F708">
        <v>621.38</v>
      </c>
    </row>
    <row r="709" spans="1:6">
      <c r="A709" s="1">
        <v>40273</v>
      </c>
      <c r="B709">
        <v>0</v>
      </c>
      <c r="C709" s="1">
        <v>40273</v>
      </c>
      <c r="D709">
        <v>0</v>
      </c>
      <c r="E709" s="1">
        <v>40273</v>
      </c>
      <c r="F709">
        <v>0</v>
      </c>
    </row>
    <row r="710" spans="1:6">
      <c r="A710" s="1">
        <v>40276</v>
      </c>
      <c r="B710">
        <v>0</v>
      </c>
      <c r="C710" s="1">
        <v>40276</v>
      </c>
      <c r="D710">
        <v>0</v>
      </c>
      <c r="E710" s="1">
        <v>40276</v>
      </c>
      <c r="F710">
        <v>0</v>
      </c>
    </row>
    <row r="711" spans="1:6">
      <c r="A711" s="1">
        <v>40283</v>
      </c>
      <c r="B711">
        <v>0</v>
      </c>
      <c r="C711" s="1">
        <v>40283</v>
      </c>
      <c r="D711">
        <v>0</v>
      </c>
      <c r="E711" s="1">
        <v>40283</v>
      </c>
      <c r="F711">
        <v>0</v>
      </c>
    </row>
    <row r="712" spans="1:6">
      <c r="A712" s="1">
        <v>40296</v>
      </c>
      <c r="B712">
        <v>329.28</v>
      </c>
      <c r="C712" s="1">
        <v>40296</v>
      </c>
      <c r="D712">
        <v>-329.28</v>
      </c>
      <c r="E712" s="1">
        <v>40296</v>
      </c>
      <c r="F712">
        <v>-329.28</v>
      </c>
    </row>
    <row r="713" spans="1:6">
      <c r="A713" s="1">
        <v>40301</v>
      </c>
      <c r="B713">
        <v>0</v>
      </c>
      <c r="C713" s="1">
        <v>40301</v>
      </c>
      <c r="D713">
        <v>0</v>
      </c>
      <c r="E713" s="1">
        <v>40301</v>
      </c>
      <c r="F713">
        <v>0</v>
      </c>
    </row>
    <row r="714" spans="1:6">
      <c r="A714" s="1">
        <v>40311</v>
      </c>
      <c r="B714">
        <v>0</v>
      </c>
      <c r="C714" s="1">
        <v>40311</v>
      </c>
      <c r="D714">
        <v>0</v>
      </c>
      <c r="E714" s="1">
        <v>40311</v>
      </c>
      <c r="F714">
        <v>0</v>
      </c>
    </row>
    <row r="715" spans="1:6">
      <c r="A715" s="1">
        <v>40312</v>
      </c>
      <c r="B715">
        <v>0</v>
      </c>
      <c r="C715" s="1">
        <v>40312</v>
      </c>
      <c r="D715">
        <v>0</v>
      </c>
      <c r="E715" s="1">
        <v>40312</v>
      </c>
      <c r="F715">
        <v>0</v>
      </c>
    </row>
    <row r="716" spans="1:6">
      <c r="A716" s="1">
        <v>40330</v>
      </c>
      <c r="B716">
        <v>54305.700340000003</v>
      </c>
      <c r="C716" s="1">
        <v>40330</v>
      </c>
      <c r="D716">
        <v>0</v>
      </c>
      <c r="E716" s="1">
        <v>40330</v>
      </c>
      <c r="F716">
        <v>0</v>
      </c>
    </row>
    <row r="718" spans="1:6">
      <c r="A718" t="s">
        <v>152</v>
      </c>
      <c r="B718">
        <v>4.5992428483783203E-2</v>
      </c>
      <c r="C718" t="s">
        <v>153</v>
      </c>
      <c r="D718">
        <v>4.6032378785884703E-2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36"/>
  <sheetViews>
    <sheetView zoomScale="85" zoomScaleNormal="85" workbookViewId="0">
      <selection activeCell="H12" sqref="H12"/>
    </sheetView>
  </sheetViews>
  <sheetFormatPr defaultRowHeight="15"/>
  <cols>
    <col min="1" max="1" width="15.85546875" bestFit="1" customWidth="1"/>
    <col min="2" max="2" width="12.85546875" bestFit="1" customWidth="1"/>
    <col min="3" max="3" width="15.85546875" bestFit="1" customWidth="1"/>
    <col min="4" max="4" width="12.85546875" bestFit="1" customWidth="1"/>
    <col min="5" max="5" width="11.28515625" bestFit="1" customWidth="1"/>
    <col min="6" max="6" width="9.28515625" bestFit="1" customWidth="1"/>
    <col min="8" max="8" width="10.28515625" bestFit="1" customWidth="1"/>
    <col min="9" max="9" width="11.28515625" bestFit="1" customWidth="1"/>
  </cols>
  <sheetData>
    <row r="1" spans="1:10">
      <c r="A1" s="16" t="s">
        <v>121</v>
      </c>
      <c r="B1" s="16" t="s">
        <v>27</v>
      </c>
      <c r="C1" s="16" t="s">
        <v>122</v>
      </c>
      <c r="D1" s="16" t="s">
        <v>158</v>
      </c>
      <c r="E1" s="16" t="s">
        <v>124</v>
      </c>
      <c r="F1" s="16" t="s">
        <v>159</v>
      </c>
      <c r="G1" s="16"/>
      <c r="H1" s="16"/>
    </row>
    <row r="2" spans="1:10">
      <c r="A2" s="16" t="s">
        <v>126</v>
      </c>
      <c r="B2" s="16">
        <v>20090601</v>
      </c>
      <c r="C2" s="16" t="s">
        <v>127</v>
      </c>
      <c r="D2" s="16">
        <v>20100601</v>
      </c>
      <c r="E2" s="16"/>
      <c r="F2" s="16"/>
      <c r="G2" s="16"/>
      <c r="H2" s="16"/>
    </row>
    <row r="3" spans="1:10">
      <c r="A3" s="16" t="s">
        <v>128</v>
      </c>
      <c r="B3" s="16">
        <v>0</v>
      </c>
      <c r="C3" s="16" t="s">
        <v>129</v>
      </c>
      <c r="D3" s="16">
        <v>0</v>
      </c>
      <c r="E3" s="16" t="s">
        <v>130</v>
      </c>
      <c r="F3" s="16">
        <v>24355.898701515998</v>
      </c>
      <c r="G3" s="16"/>
      <c r="H3" s="16"/>
    </row>
    <row r="4" spans="1:10">
      <c r="A4" s="16" t="s">
        <v>131</v>
      </c>
      <c r="B4" s="16">
        <v>0</v>
      </c>
      <c r="C4" s="16" t="s">
        <v>132</v>
      </c>
      <c r="D4" s="16">
        <v>0</v>
      </c>
      <c r="E4" s="16" t="s">
        <v>133</v>
      </c>
      <c r="F4" s="16">
        <v>10925.03</v>
      </c>
      <c r="G4" s="16"/>
      <c r="H4" s="16"/>
    </row>
    <row r="5" spans="1:10">
      <c r="A5" s="16" t="s">
        <v>134</v>
      </c>
      <c r="B5" s="10">
        <v>-21826.82</v>
      </c>
      <c r="C5" s="16" t="s">
        <v>135</v>
      </c>
      <c r="D5" s="10">
        <v>-5571.1799999999903</v>
      </c>
      <c r="E5" s="16" t="s">
        <v>136</v>
      </c>
      <c r="F5" s="16">
        <v>20000</v>
      </c>
      <c r="G5" s="16"/>
      <c r="H5" s="16"/>
    </row>
    <row r="6" spans="1:10">
      <c r="A6" s="16" t="s">
        <v>137</v>
      </c>
      <c r="B6" s="10">
        <v>6713.8899999999903</v>
      </c>
      <c r="C6" s="16" t="s">
        <v>138</v>
      </c>
      <c r="D6" s="10">
        <v>-21725.74</v>
      </c>
      <c r="E6" s="16" t="s">
        <v>139</v>
      </c>
      <c r="F6" s="16">
        <v>-424.11</v>
      </c>
      <c r="G6" s="16" t="s">
        <v>140</v>
      </c>
      <c r="H6" s="16">
        <v>165.31</v>
      </c>
    </row>
    <row r="7" spans="1:10">
      <c r="A7" s="16" t="s">
        <v>141</v>
      </c>
      <c r="B7" s="10">
        <v>406.93</v>
      </c>
      <c r="C7" s="16" t="s">
        <v>142</v>
      </c>
      <c r="D7" s="10">
        <v>-3.76</v>
      </c>
      <c r="E7" s="16"/>
      <c r="F7" s="16"/>
      <c r="G7" s="16"/>
      <c r="H7" s="16"/>
    </row>
    <row r="8" spans="1:10">
      <c r="A8" s="16" t="s">
        <v>143</v>
      </c>
      <c r="B8" s="10">
        <v>11234.78</v>
      </c>
      <c r="C8" s="16" t="s">
        <v>144</v>
      </c>
      <c r="D8" s="10">
        <v>-305.75372093023202</v>
      </c>
      <c r="E8" s="16"/>
      <c r="F8" s="16"/>
      <c r="G8" s="16"/>
      <c r="H8" s="16"/>
    </row>
    <row r="9" spans="1:10">
      <c r="A9" s="16" t="s">
        <v>145</v>
      </c>
      <c r="B9" s="10">
        <v>4372.8562790697597</v>
      </c>
      <c r="C9" s="16" t="s">
        <v>146</v>
      </c>
      <c r="D9" s="10">
        <v>-2533.07498058582</v>
      </c>
      <c r="E9" s="16" t="s">
        <v>169</v>
      </c>
      <c r="F9" s="16">
        <v>1839.78129848393</v>
      </c>
      <c r="G9" s="16"/>
      <c r="H9" s="16"/>
    </row>
    <row r="10" spans="1:10">
      <c r="A10" s="16" t="s">
        <v>147</v>
      </c>
      <c r="B10" s="10"/>
      <c r="C10" s="16"/>
      <c r="D10" s="10"/>
      <c r="E10" s="16"/>
      <c r="F10" s="16"/>
      <c r="G10" s="16"/>
      <c r="H10" s="16"/>
    </row>
    <row r="11" spans="1:10">
      <c r="A11" s="16"/>
      <c r="B11" s="10"/>
      <c r="C11" s="16"/>
      <c r="D11" s="10"/>
      <c r="E11" s="16"/>
      <c r="F11" s="16"/>
      <c r="G11" s="16"/>
      <c r="H11" s="16"/>
    </row>
    <row r="12" spans="1:10">
      <c r="A12" s="16" t="s">
        <v>148</v>
      </c>
      <c r="B12" s="16"/>
      <c r="C12" s="16" t="s">
        <v>149</v>
      </c>
      <c r="D12" s="16"/>
      <c r="E12" s="16" t="s">
        <v>150</v>
      </c>
      <c r="F12" s="16"/>
      <c r="G12" s="16"/>
      <c r="H12" s="18" t="s">
        <v>171</v>
      </c>
    </row>
    <row r="13" spans="1:10">
      <c r="A13" s="16" t="s">
        <v>3</v>
      </c>
      <c r="B13" s="16" t="s">
        <v>151</v>
      </c>
      <c r="C13" s="16" t="s">
        <v>3</v>
      </c>
      <c r="D13" s="16" t="s">
        <v>151</v>
      </c>
      <c r="E13" s="16" t="s">
        <v>3</v>
      </c>
      <c r="F13" s="16" t="s">
        <v>151</v>
      </c>
      <c r="G13" s="16"/>
      <c r="H13" s="16"/>
    </row>
    <row r="14" spans="1:10">
      <c r="A14" s="17">
        <v>39965</v>
      </c>
      <c r="B14" s="16">
        <v>0</v>
      </c>
      <c r="C14" s="17">
        <v>39965</v>
      </c>
      <c r="D14" s="16">
        <v>0</v>
      </c>
      <c r="E14" s="17">
        <v>40177</v>
      </c>
      <c r="F14" s="16">
        <v>0</v>
      </c>
      <c r="G14" s="16"/>
      <c r="H14" s="19">
        <f>+A14</f>
        <v>39965</v>
      </c>
      <c r="I14">
        <f>+-F3</f>
        <v>-24355.898701515998</v>
      </c>
      <c r="J14" s="18"/>
    </row>
    <row r="15" spans="1:10">
      <c r="A15" s="17">
        <v>40177</v>
      </c>
      <c r="B15" s="16">
        <v>0</v>
      </c>
      <c r="C15" s="17">
        <v>40177</v>
      </c>
      <c r="D15" s="16">
        <v>302.11</v>
      </c>
      <c r="E15" s="17">
        <v>40186</v>
      </c>
      <c r="F15" s="16">
        <v>911.1</v>
      </c>
      <c r="G15" s="16"/>
      <c r="H15" s="19">
        <f t="shared" ref="H15:H29" si="0">+A15</f>
        <v>40177</v>
      </c>
      <c r="I15" s="18">
        <f>+B15</f>
        <v>0</v>
      </c>
      <c r="J15" s="18"/>
    </row>
    <row r="16" spans="1:10">
      <c r="A16" s="17">
        <v>40186</v>
      </c>
      <c r="B16" s="16">
        <v>-911.1</v>
      </c>
      <c r="C16" s="17">
        <v>40186</v>
      </c>
      <c r="D16" s="16">
        <v>911.1</v>
      </c>
      <c r="E16" s="17">
        <v>40187</v>
      </c>
      <c r="F16" s="16">
        <v>0</v>
      </c>
      <c r="G16" s="16"/>
      <c r="H16" s="19">
        <f t="shared" si="0"/>
        <v>40186</v>
      </c>
      <c r="I16" s="18">
        <f t="shared" ref="I16:I28" si="1">+B16</f>
        <v>-911.1</v>
      </c>
      <c r="J16" s="18"/>
    </row>
    <row r="17" spans="1:10">
      <c r="A17" s="17">
        <v>40187</v>
      </c>
      <c r="B17" s="16">
        <v>16.32</v>
      </c>
      <c r="C17" s="17">
        <v>40187</v>
      </c>
      <c r="D17" s="16">
        <v>-16.32</v>
      </c>
      <c r="E17" s="17">
        <v>40211</v>
      </c>
      <c r="F17" s="16">
        <v>0</v>
      </c>
      <c r="G17" s="16"/>
      <c r="H17" s="19">
        <f t="shared" si="0"/>
        <v>40187</v>
      </c>
      <c r="I17" s="18">
        <f t="shared" si="1"/>
        <v>16.32</v>
      </c>
      <c r="J17" s="18"/>
    </row>
    <row r="18" spans="1:10">
      <c r="A18" s="17">
        <v>40211</v>
      </c>
      <c r="B18" s="16">
        <v>-3797</v>
      </c>
      <c r="C18" s="17">
        <v>40211</v>
      </c>
      <c r="D18" s="16">
        <v>3797</v>
      </c>
      <c r="E18" s="17">
        <v>40219</v>
      </c>
      <c r="F18" s="16">
        <v>0</v>
      </c>
      <c r="G18" s="16"/>
      <c r="H18" s="19">
        <f t="shared" si="0"/>
        <v>40211</v>
      </c>
      <c r="I18" s="18">
        <f t="shared" si="1"/>
        <v>-3797</v>
      </c>
      <c r="J18" s="18"/>
    </row>
    <row r="19" spans="1:10">
      <c r="A19" s="17">
        <v>40219</v>
      </c>
      <c r="B19" s="16">
        <v>151.18</v>
      </c>
      <c r="C19" s="17">
        <v>40219</v>
      </c>
      <c r="D19" s="16">
        <v>-151.18</v>
      </c>
      <c r="E19" s="17">
        <v>40252</v>
      </c>
      <c r="F19" s="16">
        <v>0</v>
      </c>
      <c r="G19" s="16"/>
      <c r="H19" s="19">
        <f t="shared" si="0"/>
        <v>40219</v>
      </c>
      <c r="I19" s="18">
        <f t="shared" si="1"/>
        <v>151.18</v>
      </c>
      <c r="J19" s="18"/>
    </row>
    <row r="20" spans="1:10">
      <c r="A20" s="17">
        <v>40252</v>
      </c>
      <c r="B20" s="16">
        <v>-1434.8</v>
      </c>
      <c r="C20" s="17">
        <v>40252</v>
      </c>
      <c r="D20" s="16">
        <v>1434.8</v>
      </c>
      <c r="E20" s="17">
        <v>40265</v>
      </c>
      <c r="F20" s="16">
        <v>0</v>
      </c>
      <c r="G20" s="16"/>
      <c r="H20" s="19">
        <f t="shared" si="0"/>
        <v>40252</v>
      </c>
      <c r="I20" s="18">
        <f t="shared" si="1"/>
        <v>-1434.8</v>
      </c>
      <c r="J20" s="18"/>
    </row>
    <row r="21" spans="1:10">
      <c r="A21" s="17">
        <v>40265</v>
      </c>
      <c r="B21" s="16">
        <v>7.61</v>
      </c>
      <c r="C21" s="17">
        <v>40265</v>
      </c>
      <c r="D21" s="16">
        <v>0</v>
      </c>
      <c r="E21" s="17">
        <v>40266</v>
      </c>
      <c r="F21" s="16">
        <v>0</v>
      </c>
      <c r="G21" s="16"/>
      <c r="H21" s="19">
        <f t="shared" si="0"/>
        <v>40265</v>
      </c>
      <c r="I21" s="18">
        <f t="shared" si="1"/>
        <v>7.61</v>
      </c>
      <c r="J21" s="18"/>
    </row>
    <row r="22" spans="1:10">
      <c r="A22" s="17">
        <v>40266</v>
      </c>
      <c r="B22" s="16">
        <v>97.21</v>
      </c>
      <c r="C22" s="17">
        <v>40266</v>
      </c>
      <c r="D22" s="16">
        <v>0</v>
      </c>
      <c r="E22" s="17">
        <v>40268</v>
      </c>
      <c r="F22" s="16">
        <v>0</v>
      </c>
      <c r="G22" s="16"/>
      <c r="H22" s="19">
        <f t="shared" si="0"/>
        <v>40266</v>
      </c>
      <c r="I22" s="18">
        <f t="shared" si="1"/>
        <v>97.21</v>
      </c>
      <c r="J22" s="18"/>
    </row>
    <row r="23" spans="1:10">
      <c r="A23" s="17">
        <v>40268</v>
      </c>
      <c r="B23" s="16">
        <v>-12.27</v>
      </c>
      <c r="C23" s="17">
        <v>40268</v>
      </c>
      <c r="D23" s="16">
        <v>12.27</v>
      </c>
      <c r="E23" s="17">
        <v>40276</v>
      </c>
      <c r="F23" s="16">
        <v>0</v>
      </c>
      <c r="G23" s="16"/>
      <c r="H23" s="19">
        <f t="shared" si="0"/>
        <v>40268</v>
      </c>
      <c r="I23" s="18">
        <f t="shared" si="1"/>
        <v>-12.27</v>
      </c>
      <c r="J23" s="18"/>
    </row>
    <row r="24" spans="1:10">
      <c r="A24" s="17">
        <v>40276</v>
      </c>
      <c r="B24" s="16">
        <v>-3.76</v>
      </c>
      <c r="C24" s="17">
        <v>40276</v>
      </c>
      <c r="D24" s="16">
        <v>0</v>
      </c>
      <c r="E24" s="17">
        <v>40283</v>
      </c>
      <c r="F24" s="16">
        <v>0</v>
      </c>
      <c r="G24" s="16"/>
      <c r="H24" s="19">
        <f t="shared" si="0"/>
        <v>40276</v>
      </c>
      <c r="I24" s="18">
        <f t="shared" si="1"/>
        <v>-3.76</v>
      </c>
      <c r="J24" s="18"/>
    </row>
    <row r="25" spans="1:10">
      <c r="A25" s="17">
        <v>40283</v>
      </c>
      <c r="B25" s="16">
        <v>927</v>
      </c>
      <c r="C25" s="17">
        <v>40283</v>
      </c>
      <c r="D25" s="16">
        <v>-927</v>
      </c>
      <c r="E25" s="17">
        <v>40296</v>
      </c>
      <c r="F25" s="16">
        <v>-329.28</v>
      </c>
      <c r="G25" s="16"/>
      <c r="H25" s="19">
        <f t="shared" si="0"/>
        <v>40283</v>
      </c>
      <c r="I25" s="18">
        <f t="shared" si="1"/>
        <v>927</v>
      </c>
      <c r="J25" s="18"/>
    </row>
    <row r="26" spans="1:10">
      <c r="A26" s="17">
        <v>40296</v>
      </c>
      <c r="B26" s="16">
        <v>163.969999999999</v>
      </c>
      <c r="C26" s="17">
        <v>40296</v>
      </c>
      <c r="D26" s="16">
        <v>-163.969999999999</v>
      </c>
      <c r="E26" s="17">
        <v>40301</v>
      </c>
      <c r="F26" s="16">
        <v>0</v>
      </c>
      <c r="G26" s="16"/>
      <c r="H26" s="19">
        <f t="shared" si="0"/>
        <v>40296</v>
      </c>
      <c r="I26" s="18">
        <f t="shared" si="1"/>
        <v>163.969999999999</v>
      </c>
      <c r="J26" s="18"/>
    </row>
    <row r="27" spans="1:10">
      <c r="A27" s="17">
        <v>40301</v>
      </c>
      <c r="B27" s="16">
        <v>18012.400000000001</v>
      </c>
      <c r="C27" s="17">
        <v>40301</v>
      </c>
      <c r="D27" s="16">
        <v>-18012.400000000001</v>
      </c>
      <c r="E27" s="17">
        <v>40312</v>
      </c>
      <c r="F27" s="16">
        <v>0</v>
      </c>
      <c r="G27" s="16"/>
      <c r="H27" s="19">
        <f t="shared" si="0"/>
        <v>40301</v>
      </c>
      <c r="I27" s="18">
        <f t="shared" si="1"/>
        <v>18012.400000000001</v>
      </c>
      <c r="J27" s="18"/>
    </row>
    <row r="28" spans="1:10">
      <c r="A28" s="17">
        <v>40312</v>
      </c>
      <c r="B28" s="16">
        <v>2457.06</v>
      </c>
      <c r="C28" s="17">
        <v>40312</v>
      </c>
      <c r="D28" s="16">
        <v>-2457.06</v>
      </c>
      <c r="E28" s="17"/>
      <c r="F28" s="16"/>
      <c r="G28" s="16"/>
      <c r="H28" s="19">
        <f t="shared" si="0"/>
        <v>40312</v>
      </c>
      <c r="I28" s="18">
        <f t="shared" si="1"/>
        <v>2457.06</v>
      </c>
      <c r="J28" s="18"/>
    </row>
    <row r="29" spans="1:10">
      <c r="A29" s="17">
        <v>40330</v>
      </c>
      <c r="B29" s="16">
        <v>0</v>
      </c>
      <c r="C29" s="17">
        <v>40330</v>
      </c>
      <c r="D29" s="16">
        <v>0</v>
      </c>
      <c r="E29" s="17"/>
      <c r="F29" s="16"/>
      <c r="G29" s="16"/>
      <c r="H29" s="19">
        <f t="shared" si="0"/>
        <v>40330</v>
      </c>
      <c r="I29" s="20">
        <f>+F4</f>
        <v>10925.03</v>
      </c>
      <c r="J29" s="18"/>
    </row>
    <row r="30" spans="1:10">
      <c r="A30" s="17"/>
      <c r="B30" s="16"/>
      <c r="C30" s="17"/>
      <c r="D30" s="16"/>
      <c r="E30" s="16"/>
      <c r="F30" s="16"/>
      <c r="G30" s="16"/>
      <c r="H30" s="19"/>
      <c r="I30" s="20"/>
      <c r="J30" s="18"/>
    </row>
    <row r="31" spans="1:10">
      <c r="A31" s="17" t="s">
        <v>152</v>
      </c>
      <c r="B31" s="16">
        <v>9.0994497864760895E-2</v>
      </c>
      <c r="C31" s="17" t="s">
        <v>153</v>
      </c>
      <c r="D31" s="16">
        <v>9.1482970733227198E-2</v>
      </c>
      <c r="E31" s="16"/>
      <c r="F31" s="16"/>
      <c r="G31" s="16"/>
      <c r="H31" s="19"/>
      <c r="I31" s="20"/>
      <c r="J31" s="18"/>
    </row>
    <row r="34" spans="1:4" ht="15.75" thickBot="1"/>
    <row r="35" spans="1:4" ht="16.5" thickTop="1" thickBot="1">
      <c r="A35" t="s">
        <v>168</v>
      </c>
      <c r="B35" s="15">
        <f>+MDIETZ_ALT(F3,F4,B7,D7,D14:D29,C14:C29)</f>
        <v>9.0994497864763671E-2</v>
      </c>
      <c r="D35" s="15">
        <f>+XIRR(I14:I29,H14:H29)</f>
        <v>9.1482970118522661E-2</v>
      </c>
    </row>
    <row r="36" spans="1:4" ht="15.75" thickTop="1">
      <c r="A36" t="s">
        <v>170</v>
      </c>
      <c r="B36">
        <f>+B35-B31</f>
        <v>2.7755575615628914E-15</v>
      </c>
      <c r="D36">
        <f>+D31-D35</f>
        <v>6.1470453727174856E-10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A31"/>
  <sheetViews>
    <sheetView zoomScale="70" zoomScaleNormal="70" workbookViewId="0">
      <selection activeCell="D14" sqref="D14"/>
    </sheetView>
  </sheetViews>
  <sheetFormatPr defaultRowHeight="15"/>
  <cols>
    <col min="1" max="1" width="16" bestFit="1" customWidth="1"/>
    <col min="2" max="2" width="22.85546875" bestFit="1" customWidth="1"/>
    <col min="3" max="3" width="16.7109375" bestFit="1" customWidth="1"/>
    <col min="4" max="4" width="28.7109375" bestFit="1" customWidth="1"/>
    <col min="5" max="5" width="12.28515625" bestFit="1" customWidth="1"/>
    <col min="6" max="6" width="28.5703125" bestFit="1" customWidth="1"/>
    <col min="7" max="7" width="46.85546875" bestFit="1" customWidth="1"/>
    <col min="8" max="8" width="13.140625" bestFit="1" customWidth="1"/>
    <col min="9" max="10" width="6" customWidth="1"/>
    <col min="11" max="11" width="9.5703125" customWidth="1"/>
    <col min="12" max="12" width="9.7109375" customWidth="1"/>
    <col min="13" max="14" width="6" customWidth="1"/>
    <col min="15" max="15" width="13.42578125" customWidth="1"/>
    <col min="16" max="16" width="10.28515625" customWidth="1"/>
    <col min="17" max="17" width="10.140625" customWidth="1"/>
    <col min="18" max="18" width="9.7109375" customWidth="1"/>
    <col min="19" max="19" width="12.85546875" bestFit="1" customWidth="1"/>
    <col min="20" max="20" width="6" customWidth="1"/>
    <col min="21" max="21" width="13.140625" bestFit="1" customWidth="1"/>
    <col min="22" max="22" width="12.42578125" customWidth="1"/>
    <col min="23" max="24" width="12.42578125" bestFit="1" customWidth="1"/>
    <col min="25" max="25" width="9.7109375" customWidth="1"/>
    <col min="26" max="26" width="12.42578125" bestFit="1" customWidth="1"/>
    <col min="27" max="27" width="12" bestFit="1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>
      <c r="A2" t="s">
        <v>27</v>
      </c>
      <c r="B2" t="s">
        <v>61</v>
      </c>
      <c r="C2">
        <v>12</v>
      </c>
      <c r="D2">
        <v>39882</v>
      </c>
      <c r="E2" t="s">
        <v>38</v>
      </c>
      <c r="F2" s="1" t="s">
        <v>62</v>
      </c>
      <c r="G2" s="13">
        <v>-11474.63</v>
      </c>
      <c r="H2" s="13">
        <v>0</v>
      </c>
      <c r="I2" s="13">
        <v>0</v>
      </c>
      <c r="J2" s="13">
        <v>0</v>
      </c>
      <c r="K2" s="13">
        <v>-12.19</v>
      </c>
      <c r="L2" s="13">
        <v>0</v>
      </c>
      <c r="M2" s="13">
        <v>0</v>
      </c>
      <c r="N2" s="13">
        <v>0</v>
      </c>
      <c r="O2" s="13">
        <v>-11486.82</v>
      </c>
      <c r="P2" s="13">
        <v>172.2141</v>
      </c>
      <c r="Q2" s="13">
        <v>66.630020155581093</v>
      </c>
      <c r="R2" s="13">
        <v>172.2141</v>
      </c>
      <c r="S2" s="13">
        <v>11486.82</v>
      </c>
      <c r="T2" s="13">
        <v>0</v>
      </c>
      <c r="U2" s="13">
        <v>11474.6289540752</v>
      </c>
      <c r="V2" s="13">
        <v>-12.191045924740999</v>
      </c>
      <c r="W2" s="13">
        <v>-12.191045924740999</v>
      </c>
      <c r="X2" s="13">
        <v>0</v>
      </c>
      <c r="Y2" s="13">
        <v>0</v>
      </c>
      <c r="Z2" s="13">
        <v>-12.191045924740999</v>
      </c>
      <c r="AA2" s="13">
        <v>-12.191045924740999</v>
      </c>
    </row>
    <row r="3" spans="1:27">
      <c r="A3" t="s">
        <v>27</v>
      </c>
      <c r="B3" t="s">
        <v>61</v>
      </c>
      <c r="C3">
        <v>10</v>
      </c>
      <c r="D3">
        <v>40177</v>
      </c>
      <c r="E3" t="s">
        <v>63</v>
      </c>
      <c r="F3" s="1" t="s">
        <v>64</v>
      </c>
      <c r="G3" s="13">
        <v>-302.11</v>
      </c>
      <c r="H3" s="13">
        <v>0</v>
      </c>
      <c r="I3" s="13">
        <v>0</v>
      </c>
      <c r="J3" s="13">
        <v>0</v>
      </c>
      <c r="K3" s="13">
        <v>0</v>
      </c>
      <c r="L3" s="13">
        <v>302.11</v>
      </c>
      <c r="M3" s="13">
        <v>0</v>
      </c>
      <c r="N3" s="13">
        <v>0</v>
      </c>
      <c r="O3" s="13">
        <v>0</v>
      </c>
      <c r="P3" s="13">
        <v>2.9129999999999998</v>
      </c>
      <c r="Q3" s="13">
        <v>103.710018491496</v>
      </c>
      <c r="R3" s="13">
        <v>175.12710000000001</v>
      </c>
      <c r="S3" s="13">
        <v>11788.93</v>
      </c>
      <c r="T3" s="13">
        <v>0</v>
      </c>
      <c r="U3" s="13">
        <v>18162.434779362098</v>
      </c>
      <c r="V3" s="13">
        <v>6373.5047793621197</v>
      </c>
      <c r="W3" s="13">
        <v>6385.6958252868599</v>
      </c>
      <c r="X3" s="13">
        <v>0</v>
      </c>
      <c r="Y3" s="13">
        <v>302.11</v>
      </c>
      <c r="Z3" s="13">
        <v>6687.8058252868605</v>
      </c>
      <c r="AA3" s="13">
        <v>6675.6147793621203</v>
      </c>
    </row>
    <row r="4" spans="1:27">
      <c r="A4" t="s">
        <v>27</v>
      </c>
      <c r="B4" t="s">
        <v>61</v>
      </c>
      <c r="C4">
        <v>112</v>
      </c>
      <c r="D4">
        <v>40265</v>
      </c>
      <c r="E4" t="s">
        <v>65</v>
      </c>
      <c r="F4" s="1" t="s">
        <v>66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7.61</v>
      </c>
      <c r="M4" s="13">
        <v>0</v>
      </c>
      <c r="N4" s="13">
        <v>0</v>
      </c>
      <c r="O4" s="13">
        <v>7.61</v>
      </c>
      <c r="P4" s="13">
        <v>0</v>
      </c>
      <c r="Q4" s="13">
        <v>107.87998567353701</v>
      </c>
      <c r="R4" s="13">
        <v>175.12710000000001</v>
      </c>
      <c r="S4" s="13">
        <v>11788.93</v>
      </c>
      <c r="T4" s="13">
        <v>0</v>
      </c>
      <c r="U4" s="13">
        <v>18892.709039048201</v>
      </c>
      <c r="V4" s="13">
        <v>7103.7790390482396</v>
      </c>
      <c r="W4" s="13">
        <v>730.27425968611703</v>
      </c>
      <c r="X4" s="13">
        <v>0</v>
      </c>
      <c r="Y4" s="13">
        <v>7.61</v>
      </c>
      <c r="Z4" s="13">
        <v>737.88425968611705</v>
      </c>
      <c r="AA4" s="13">
        <v>7413.4990390482399</v>
      </c>
    </row>
    <row r="5" spans="1:27">
      <c r="A5" t="s">
        <v>27</v>
      </c>
      <c r="B5" t="s">
        <v>61</v>
      </c>
      <c r="C5">
        <v>128</v>
      </c>
      <c r="D5">
        <v>40301</v>
      </c>
      <c r="E5" t="s">
        <v>45</v>
      </c>
      <c r="F5" s="1" t="s">
        <v>67</v>
      </c>
      <c r="G5" s="13">
        <v>0</v>
      </c>
      <c r="H5" s="13">
        <v>18034.59</v>
      </c>
      <c r="I5" s="13">
        <v>0</v>
      </c>
      <c r="J5" s="13">
        <v>0</v>
      </c>
      <c r="K5" s="13">
        <v>-22.19</v>
      </c>
      <c r="L5" s="13">
        <v>0</v>
      </c>
      <c r="M5" s="13">
        <v>0</v>
      </c>
      <c r="N5" s="13">
        <v>0</v>
      </c>
      <c r="O5" s="13">
        <v>18012.400000000001</v>
      </c>
      <c r="P5" s="13">
        <v>-175.12710000000001</v>
      </c>
      <c r="Q5" s="13">
        <v>110.859951731577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6223.47</v>
      </c>
      <c r="Y5" s="13">
        <v>0</v>
      </c>
      <c r="Z5" s="13">
        <v>6223.47</v>
      </c>
      <c r="AA5" s="13">
        <v>6533.19</v>
      </c>
    </row>
    <row r="8" spans="1:27">
      <c r="A8" t="s">
        <v>120</v>
      </c>
    </row>
    <row r="10" spans="1:27">
      <c r="A10" t="s">
        <v>121</v>
      </c>
      <c r="B10" t="s">
        <v>61</v>
      </c>
      <c r="C10" t="s">
        <v>122</v>
      </c>
      <c r="D10" t="s">
        <v>156</v>
      </c>
      <c r="E10" t="s">
        <v>124</v>
      </c>
      <c r="F10" t="s">
        <v>125</v>
      </c>
    </row>
    <row r="11" spans="1:27">
      <c r="A11" t="s">
        <v>126</v>
      </c>
      <c r="B11">
        <v>20090601</v>
      </c>
      <c r="C11" t="s">
        <v>127</v>
      </c>
      <c r="D11">
        <v>20100601</v>
      </c>
    </row>
    <row r="12" spans="1:27">
      <c r="A12" t="s">
        <v>128</v>
      </c>
      <c r="B12" s="7">
        <v>172.2141</v>
      </c>
      <c r="C12" t="s">
        <v>129</v>
      </c>
      <c r="D12" s="7">
        <v>87.169974476631396</v>
      </c>
      <c r="E12" t="s">
        <v>130</v>
      </c>
      <c r="F12" s="7">
        <v>15011.898701516</v>
      </c>
    </row>
    <row r="13" spans="1:27">
      <c r="A13" t="s">
        <v>131</v>
      </c>
      <c r="B13" s="7">
        <v>0</v>
      </c>
      <c r="C13" t="s">
        <v>132</v>
      </c>
      <c r="D13" s="7">
        <v>98.95</v>
      </c>
      <c r="E13" t="s">
        <v>133</v>
      </c>
      <c r="F13" s="7">
        <v>0</v>
      </c>
    </row>
    <row r="14" spans="1:27">
      <c r="A14" t="s">
        <v>134</v>
      </c>
      <c r="B14" s="7">
        <v>-11486.82</v>
      </c>
      <c r="C14" t="s">
        <v>135</v>
      </c>
      <c r="D14" s="7">
        <v>6533.19</v>
      </c>
      <c r="E14" t="s">
        <v>136</v>
      </c>
      <c r="F14" s="7">
        <v>0</v>
      </c>
    </row>
    <row r="15" spans="1:27">
      <c r="A15" t="s">
        <v>137</v>
      </c>
      <c r="B15" s="7">
        <v>302.11</v>
      </c>
      <c r="C15" t="s">
        <v>138</v>
      </c>
      <c r="D15" s="7">
        <v>-18012.400000000001</v>
      </c>
      <c r="E15" t="s">
        <v>139</v>
      </c>
      <c r="F15" s="7">
        <v>0</v>
      </c>
      <c r="G15" t="s">
        <v>140</v>
      </c>
      <c r="H15">
        <v>0</v>
      </c>
    </row>
    <row r="16" spans="1:27">
      <c r="A16" t="s">
        <v>141</v>
      </c>
      <c r="B16" s="7">
        <v>309.72000000000003</v>
      </c>
      <c r="C16" t="s">
        <v>142</v>
      </c>
      <c r="D16" s="7">
        <v>0</v>
      </c>
    </row>
    <row r="17" spans="1:8">
      <c r="A17" t="s">
        <v>143</v>
      </c>
      <c r="B17" s="7">
        <v>0</v>
      </c>
      <c r="C17" t="s">
        <v>144</v>
      </c>
      <c r="D17" s="7">
        <v>0</v>
      </c>
    </row>
    <row r="18" spans="1:8">
      <c r="A18" t="s">
        <v>145</v>
      </c>
      <c r="B18" s="7">
        <v>6223.47</v>
      </c>
      <c r="C18" t="s">
        <v>146</v>
      </c>
      <c r="D18" s="7">
        <v>-3525.0787015160599</v>
      </c>
      <c r="E18" t="s">
        <v>169</v>
      </c>
      <c r="F18">
        <v>2698.3912984839399</v>
      </c>
    </row>
    <row r="19" spans="1:8">
      <c r="A19" t="s">
        <v>147</v>
      </c>
    </row>
    <row r="21" spans="1:8">
      <c r="A21" t="s">
        <v>148</v>
      </c>
      <c r="C21" t="s">
        <v>149</v>
      </c>
      <c r="E21" t="s">
        <v>150</v>
      </c>
      <c r="G21" s="18" t="s">
        <v>171</v>
      </c>
    </row>
    <row r="22" spans="1:8">
      <c r="A22" t="s">
        <v>3</v>
      </c>
      <c r="B22" t="s">
        <v>151</v>
      </c>
      <c r="C22" t="s">
        <v>3</v>
      </c>
      <c r="D22" t="s">
        <v>151</v>
      </c>
      <c r="E22" t="s">
        <v>3</v>
      </c>
      <c r="F22" t="s">
        <v>151</v>
      </c>
    </row>
    <row r="23" spans="1:8">
      <c r="A23" s="1">
        <v>39965</v>
      </c>
      <c r="B23" s="7">
        <v>0</v>
      </c>
      <c r="C23" s="1">
        <v>39965</v>
      </c>
      <c r="D23" s="7">
        <v>0</v>
      </c>
      <c r="E23" s="1">
        <v>40177</v>
      </c>
      <c r="F23">
        <v>0</v>
      </c>
      <c r="G23" s="1">
        <f>+A23</f>
        <v>39965</v>
      </c>
      <c r="H23" s="7">
        <f>+-F12</f>
        <v>-15011.898701516</v>
      </c>
    </row>
    <row r="24" spans="1:8">
      <c r="A24" s="1">
        <v>40177</v>
      </c>
      <c r="B24" s="7">
        <v>0</v>
      </c>
      <c r="C24" s="1">
        <v>40177</v>
      </c>
      <c r="D24" s="7">
        <v>302.11</v>
      </c>
      <c r="E24" s="1">
        <v>40265</v>
      </c>
      <c r="F24">
        <v>0</v>
      </c>
      <c r="G24" s="1">
        <f t="shared" ref="G24:G26" si="0">+A24</f>
        <v>40177</v>
      </c>
      <c r="H24" s="7">
        <f>+B24</f>
        <v>0</v>
      </c>
    </row>
    <row r="25" spans="1:8">
      <c r="A25" s="1">
        <v>40265</v>
      </c>
      <c r="B25" s="7">
        <v>7.61</v>
      </c>
      <c r="C25" s="1">
        <v>40265</v>
      </c>
      <c r="D25" s="7">
        <v>0</v>
      </c>
      <c r="E25" s="1">
        <v>40301</v>
      </c>
      <c r="F25">
        <v>0</v>
      </c>
      <c r="G25" s="1">
        <f t="shared" si="0"/>
        <v>40265</v>
      </c>
      <c r="H25" s="7">
        <f t="shared" ref="H25:H26" si="1">+B25</f>
        <v>7.61</v>
      </c>
    </row>
    <row r="26" spans="1:8">
      <c r="A26" s="1">
        <v>40301</v>
      </c>
      <c r="B26" s="7">
        <v>18012.400000000001</v>
      </c>
      <c r="C26" s="1">
        <v>40301</v>
      </c>
      <c r="D26" s="7">
        <v>-18012.400000000001</v>
      </c>
      <c r="G26" s="1">
        <f t="shared" si="0"/>
        <v>40301</v>
      </c>
      <c r="H26" s="7">
        <f t="shared" si="1"/>
        <v>18012.400000000001</v>
      </c>
    </row>
    <row r="28" spans="1:8">
      <c r="A28" t="s">
        <v>152</v>
      </c>
      <c r="B28" s="21">
        <v>0.198904542221055</v>
      </c>
      <c r="C28" t="s">
        <v>153</v>
      </c>
      <c r="D28" s="21">
        <v>0.21946505487521401</v>
      </c>
    </row>
    <row r="29" spans="1:8" ht="15.75" thickBot="1">
      <c r="B29" s="21"/>
      <c r="D29" s="21"/>
    </row>
    <row r="30" spans="1:8" ht="16.5" thickTop="1" thickBot="1">
      <c r="A30" t="s">
        <v>168</v>
      </c>
      <c r="B30" s="22">
        <f>+MDIETZ_ALT(F12,F13,B16,D16,D23:D26,C23:C26)</f>
        <v>0.19890454222106038</v>
      </c>
      <c r="D30" s="22">
        <f>+XIRR(H23:H26,G23:G26)</f>
        <v>0.21946505904197697</v>
      </c>
    </row>
    <row r="31" spans="1:8" ht="15.75" thickTop="1">
      <c r="A31" t="s">
        <v>170</v>
      </c>
      <c r="B31" s="21">
        <f>+B28-B30</f>
        <v>-5.3845816694320092E-15</v>
      </c>
      <c r="D31" s="21">
        <f>+D28-D30</f>
        <v>-4.1667629624431157E-9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transActivityReport</vt:lpstr>
      <vt:lpstr>MTM_Detail</vt:lpstr>
      <vt:lpstr>RepFromTo_Check</vt:lpstr>
      <vt:lpstr>AccountCheck</vt:lpstr>
      <vt:lpstr>SecurityCheck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Furrow</dc:creator>
  <cp:lastModifiedBy>Dale Furrow</cp:lastModifiedBy>
  <dcterms:created xsi:type="dcterms:W3CDTF">2011-09-01T20:36:51Z</dcterms:created>
  <dcterms:modified xsi:type="dcterms:W3CDTF">2012-02-07T18:50:55Z</dcterms:modified>
</cp:coreProperties>
</file>