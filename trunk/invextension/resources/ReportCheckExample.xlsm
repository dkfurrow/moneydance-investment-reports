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omments4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75" windowWidth="24915" windowHeight="14370"/>
  </bookViews>
  <sheets>
    <sheet name="transActivityReport" sheetId="1" r:id="rId1"/>
    <sheet name="MTM_Detail" sheetId="2" r:id="rId2"/>
    <sheet name="RepFromTo_Check" sheetId="3" r:id="rId3"/>
    <sheet name="AccountCheck" sheetId="4" r:id="rId4"/>
  </sheets>
  <functionGroups/>
  <definedNames>
    <definedName name="_xlnm._FilterDatabase" localSheetId="0" hidden="1">transActivityReport!$A$1:$AA$43</definedName>
  </definedNames>
  <calcPr calcId="125725" calcMode="manual"/>
</workbook>
</file>

<file path=xl/calcChain.xml><?xml version="1.0" encoding="utf-8"?>
<calcChain xmlns="http://schemas.openxmlformats.org/spreadsheetml/2006/main">
  <c r="B36" i="4"/>
  <c r="D35"/>
  <c r="D36" s="1"/>
  <c r="H17"/>
  <c r="H18"/>
  <c r="H19"/>
  <c r="H20"/>
  <c r="H21"/>
  <c r="H22"/>
  <c r="H23"/>
  <c r="H24"/>
  <c r="H25"/>
  <c r="H26"/>
  <c r="H27"/>
  <c r="H28"/>
  <c r="H29"/>
  <c r="H30"/>
  <c r="H31"/>
  <c r="H16"/>
  <c r="I18"/>
  <c r="I19"/>
  <c r="I20"/>
  <c r="I21"/>
  <c r="I22"/>
  <c r="I23"/>
  <c r="I24"/>
  <c r="I25"/>
  <c r="I26"/>
  <c r="I27"/>
  <c r="I28"/>
  <c r="I29"/>
  <c r="I30"/>
  <c r="I17"/>
  <c r="I31"/>
  <c r="I16"/>
  <c r="B35"/>
  <c r="G61" i="2" l="1"/>
  <c r="F26"/>
  <c r="F60"/>
  <c r="F59"/>
  <c r="F58"/>
  <c r="F30"/>
  <c r="Q48"/>
  <c r="R50"/>
  <c r="Q49"/>
  <c r="X48" s="1"/>
  <c r="L49"/>
  <c r="L50" s="1"/>
  <c r="Y51"/>
  <c r="M49"/>
  <c r="R48"/>
  <c r="G53"/>
  <c r="F51"/>
  <c r="X49" s="1"/>
  <c r="F50"/>
  <c r="F52" s="1"/>
  <c r="X50" s="1"/>
  <c r="G49"/>
  <c r="F49"/>
  <c r="G48"/>
  <c r="F48"/>
  <c r="F66"/>
  <c r="F64"/>
  <c r="F65"/>
  <c r="F32"/>
  <c r="F31"/>
  <c r="F25"/>
  <c r="G15"/>
  <c r="F24"/>
  <c r="Y17"/>
  <c r="R16"/>
  <c r="R14"/>
  <c r="M15"/>
  <c r="G19"/>
  <c r="G14"/>
  <c r="F16"/>
  <c r="F18" s="1"/>
  <c r="X16" s="1"/>
  <c r="L15"/>
  <c r="L16" s="1"/>
  <c r="Q15"/>
  <c r="X14" s="1"/>
  <c r="Q14"/>
  <c r="F17"/>
  <c r="F15"/>
  <c r="F14"/>
  <c r="AD54" i="1"/>
  <c r="AK43"/>
  <c r="AU43" s="1"/>
  <c r="AD43"/>
  <c r="AG43" s="1"/>
  <c r="AQ43" s="1"/>
  <c r="AK42"/>
  <c r="AU42" s="1"/>
  <c r="AJ42"/>
  <c r="AT42" s="1"/>
  <c r="AD42"/>
  <c r="AF42" s="1"/>
  <c r="AP42" s="1"/>
  <c r="AK41"/>
  <c r="AU41" s="1"/>
  <c r="AJ41"/>
  <c r="AT41" s="1"/>
  <c r="AD41"/>
  <c r="AF41" s="1"/>
  <c r="AP41" s="1"/>
  <c r="AK40"/>
  <c r="AU40" s="1"/>
  <c r="AD40"/>
  <c r="AG40" s="1"/>
  <c r="AK39"/>
  <c r="AU39" s="1"/>
  <c r="AD39"/>
  <c r="AE39" s="1"/>
  <c r="AO39" s="1"/>
  <c r="AK38"/>
  <c r="AU38" s="1"/>
  <c r="AJ38"/>
  <c r="AT38" s="1"/>
  <c r="AD38"/>
  <c r="AG38" s="1"/>
  <c r="AQ38" s="1"/>
  <c r="AK37"/>
  <c r="AU37" s="1"/>
  <c r="AD37"/>
  <c r="AK36"/>
  <c r="AU36" s="1"/>
  <c r="AD36"/>
  <c r="AE36" s="1"/>
  <c r="AK35"/>
  <c r="AU35" s="1"/>
  <c r="AJ35"/>
  <c r="AT35" s="1"/>
  <c r="AD35"/>
  <c r="AG35" s="1"/>
  <c r="AQ35" s="1"/>
  <c r="AK34"/>
  <c r="AU34" s="1"/>
  <c r="AJ34"/>
  <c r="AT34" s="1"/>
  <c r="AD34"/>
  <c r="AF34" s="1"/>
  <c r="AP34" s="1"/>
  <c r="AK33"/>
  <c r="AU33" s="1"/>
  <c r="AD33"/>
  <c r="AF33" s="1"/>
  <c r="AP33" s="1"/>
  <c r="AK32"/>
  <c r="AU32" s="1"/>
  <c r="AJ32"/>
  <c r="AT32" s="1"/>
  <c r="AD32"/>
  <c r="AF32" s="1"/>
  <c r="AP32" s="1"/>
  <c r="AK31"/>
  <c r="AU31" s="1"/>
  <c r="AD31"/>
  <c r="AF31" s="1"/>
  <c r="AP31" s="1"/>
  <c r="AK30"/>
  <c r="AU30" s="1"/>
  <c r="AD30"/>
  <c r="AG30" s="1"/>
  <c r="AQ30" s="1"/>
  <c r="AK29"/>
  <c r="AU29" s="1"/>
  <c r="AD29"/>
  <c r="AK28"/>
  <c r="AU28" s="1"/>
  <c r="AD28"/>
  <c r="AE28" s="1"/>
  <c r="AO28" s="1"/>
  <c r="AK27"/>
  <c r="AU27" s="1"/>
  <c r="AD27"/>
  <c r="AE27" s="1"/>
  <c r="AO27" s="1"/>
  <c r="AK26"/>
  <c r="AU26" s="1"/>
  <c r="AD26"/>
  <c r="AF26" s="1"/>
  <c r="AP26" s="1"/>
  <c r="AK25"/>
  <c r="AU25" s="1"/>
  <c r="AD25"/>
  <c r="AF25" s="1"/>
  <c r="AP25" s="1"/>
  <c r="AK24"/>
  <c r="AU24" s="1"/>
  <c r="AD24"/>
  <c r="AF24" s="1"/>
  <c r="AP24" s="1"/>
  <c r="AK23"/>
  <c r="AU23" s="1"/>
  <c r="AJ23"/>
  <c r="AT23" s="1"/>
  <c r="AD23"/>
  <c r="AG23" s="1"/>
  <c r="AK22"/>
  <c r="AU22" s="1"/>
  <c r="AJ22"/>
  <c r="AT22" s="1"/>
  <c r="AD22"/>
  <c r="AG22" s="1"/>
  <c r="AQ22" s="1"/>
  <c r="AK21"/>
  <c r="AU21" s="1"/>
  <c r="AD21"/>
  <c r="AK20"/>
  <c r="AU20" s="1"/>
  <c r="AD20"/>
  <c r="AE20" s="1"/>
  <c r="AO20" s="1"/>
  <c r="AK19"/>
  <c r="AU19" s="1"/>
  <c r="AJ19"/>
  <c r="AT19" s="1"/>
  <c r="AD19"/>
  <c r="AH19" s="1"/>
  <c r="AK18"/>
  <c r="AU18" s="1"/>
  <c r="AJ18"/>
  <c r="AT18" s="1"/>
  <c r="AD18"/>
  <c r="AF18" s="1"/>
  <c r="AP18" s="1"/>
  <c r="AK17"/>
  <c r="AU17" s="1"/>
  <c r="AJ17"/>
  <c r="AT17" s="1"/>
  <c r="AD17"/>
  <c r="AF17" s="1"/>
  <c r="AP17" s="1"/>
  <c r="AK16"/>
  <c r="AU16" s="1"/>
  <c r="AJ16"/>
  <c r="AT16" s="1"/>
  <c r="AD16"/>
  <c r="AF16" s="1"/>
  <c r="AP16" s="1"/>
  <c r="AK15"/>
  <c r="AU15" s="1"/>
  <c r="AJ15"/>
  <c r="AT15" s="1"/>
  <c r="AD15"/>
  <c r="AG15" s="1"/>
  <c r="AQ15" s="1"/>
  <c r="AK14"/>
  <c r="AU14" s="1"/>
  <c r="AJ14"/>
  <c r="AT14" s="1"/>
  <c r="AD14"/>
  <c r="AG14" s="1"/>
  <c r="AQ14" s="1"/>
  <c r="AK13"/>
  <c r="AU13" s="1"/>
  <c r="AJ13"/>
  <c r="AT13" s="1"/>
  <c r="AD13"/>
  <c r="AE13" s="1"/>
  <c r="AO13" s="1"/>
  <c r="AK12"/>
  <c r="AU12" s="1"/>
  <c r="AJ12"/>
  <c r="AT12" s="1"/>
  <c r="AD12"/>
  <c r="AE12" s="1"/>
  <c r="AO12" s="1"/>
  <c r="AK11"/>
  <c r="AU11" s="1"/>
  <c r="AJ11"/>
  <c r="AT11" s="1"/>
  <c r="AD11"/>
  <c r="AH11" s="1"/>
  <c r="AK10"/>
  <c r="AU10" s="1"/>
  <c r="AJ10"/>
  <c r="AT10" s="1"/>
  <c r="AD10"/>
  <c r="AF10" s="1"/>
  <c r="AP10" s="1"/>
  <c r="AK9"/>
  <c r="AU9" s="1"/>
  <c r="AJ9"/>
  <c r="AT9" s="1"/>
  <c r="AD9"/>
  <c r="AF9" s="1"/>
  <c r="AP9" s="1"/>
  <c r="AK8"/>
  <c r="AU8" s="1"/>
  <c r="AJ8"/>
  <c r="AT8" s="1"/>
  <c r="AD8"/>
  <c r="AG8" s="1"/>
  <c r="AQ8" s="1"/>
  <c r="AK7"/>
  <c r="AU7" s="1"/>
  <c r="AJ7"/>
  <c r="AT7" s="1"/>
  <c r="AD7"/>
  <c r="AF7" s="1"/>
  <c r="AP7" s="1"/>
  <c r="AK6"/>
  <c r="AU6" s="1"/>
  <c r="AJ6"/>
  <c r="AT6" s="1"/>
  <c r="AD6"/>
  <c r="AG6" s="1"/>
  <c r="AQ6" s="1"/>
  <c r="AK5"/>
  <c r="AU5" s="1"/>
  <c r="AJ5"/>
  <c r="AT5" s="1"/>
  <c r="AD5"/>
  <c r="AE5" s="1"/>
  <c r="AO5" s="1"/>
  <c r="AK4"/>
  <c r="AU4" s="1"/>
  <c r="AJ4"/>
  <c r="AT4" s="1"/>
  <c r="AD4"/>
  <c r="AE4" s="1"/>
  <c r="AO4" s="1"/>
  <c r="AK3"/>
  <c r="AU3" s="1"/>
  <c r="AJ3"/>
  <c r="AT3" s="1"/>
  <c r="AD3"/>
  <c r="AG3" s="1"/>
  <c r="AQ3" s="1"/>
  <c r="AK2"/>
  <c r="AU2" s="1"/>
  <c r="AJ2"/>
  <c r="AT2" s="1"/>
  <c r="AD2"/>
  <c r="AF2" s="1"/>
  <c r="AP2" s="1"/>
  <c r="AW1"/>
  <c r="AV1"/>
  <c r="AU1"/>
  <c r="AT1"/>
  <c r="AS1"/>
  <c r="AR1"/>
  <c r="AQ1"/>
  <c r="AP1"/>
  <c r="AO1"/>
  <c r="F53" i="2" l="1"/>
  <c r="F61"/>
  <c r="F67"/>
  <c r="AJ33" i="1"/>
  <c r="AT33" s="1"/>
  <c r="AH56"/>
  <c r="AC62" s="1"/>
  <c r="X51" i="2"/>
  <c r="Q50"/>
  <c r="AG20" i="1"/>
  <c r="AQ20" s="1"/>
  <c r="F33" i="2"/>
  <c r="F27"/>
  <c r="F19"/>
  <c r="Q16"/>
  <c r="X15"/>
  <c r="X17" s="1"/>
  <c r="AH10" i="1"/>
  <c r="AR10" s="1"/>
  <c r="AH7"/>
  <c r="AR7" s="1"/>
  <c r="AG11"/>
  <c r="AQ11" s="1"/>
  <c r="AG27"/>
  <c r="AQ27" s="1"/>
  <c r="AG32"/>
  <c r="AQ32" s="1"/>
  <c r="AG34"/>
  <c r="AQ34" s="1"/>
  <c r="AG10"/>
  <c r="AQ10" s="1"/>
  <c r="AF38"/>
  <c r="AP38" s="1"/>
  <c r="AD55"/>
  <c r="AC61" s="1"/>
  <c r="AE10"/>
  <c r="AO10" s="1"/>
  <c r="AF8"/>
  <c r="AP8" s="1"/>
  <c r="AH9"/>
  <c r="AR9" s="1"/>
  <c r="AG26"/>
  <c r="AQ26" s="1"/>
  <c r="AF6"/>
  <c r="AP6" s="1"/>
  <c r="AE8"/>
  <c r="AO8" s="1"/>
  <c r="AG9"/>
  <c r="AQ9" s="1"/>
  <c r="AE26"/>
  <c r="AE9"/>
  <c r="AO9" s="1"/>
  <c r="AF14"/>
  <c r="AP14" s="1"/>
  <c r="AH16"/>
  <c r="AR16" s="1"/>
  <c r="AH18"/>
  <c r="AR18" s="1"/>
  <c r="AG36"/>
  <c r="AQ36" s="1"/>
  <c r="AH8"/>
  <c r="AR8" s="1"/>
  <c r="AE11"/>
  <c r="AO11" s="1"/>
  <c r="AG24"/>
  <c r="AQ24" s="1"/>
  <c r="AF40"/>
  <c r="AH17"/>
  <c r="AR17" s="1"/>
  <c r="AH26"/>
  <c r="AR26" s="1"/>
  <c r="AH2"/>
  <c r="AR2" s="1"/>
  <c r="AE7"/>
  <c r="AO7" s="1"/>
  <c r="AE15"/>
  <c r="AO15" s="1"/>
  <c r="AE16"/>
  <c r="AO16" s="1"/>
  <c r="AG25"/>
  <c r="AQ25" s="1"/>
  <c r="AG2"/>
  <c r="AQ2" s="1"/>
  <c r="AE2"/>
  <c r="AO2" s="1"/>
  <c r="AF23"/>
  <c r="AP23" s="1"/>
  <c r="AG31"/>
  <c r="AQ31" s="1"/>
  <c r="AG42"/>
  <c r="AQ42" s="1"/>
  <c r="AE21"/>
  <c r="AO21" s="1"/>
  <c r="AG33"/>
  <c r="AQ33" s="1"/>
  <c r="AG39"/>
  <c r="AE40"/>
  <c r="AE41" s="1"/>
  <c r="AE42" s="1"/>
  <c r="AE43"/>
  <c r="AO43" s="1"/>
  <c r="AG7"/>
  <c r="AQ7" s="1"/>
  <c r="AH15"/>
  <c r="AR15" s="1"/>
  <c r="AG16"/>
  <c r="AQ16" s="1"/>
  <c r="AG17"/>
  <c r="AQ17" s="1"/>
  <c r="AG18"/>
  <c r="AQ18" s="1"/>
  <c r="AG19"/>
  <c r="AQ19" s="1"/>
  <c r="AF39"/>
  <c r="AG4"/>
  <c r="AQ4" s="1"/>
  <c r="AG12"/>
  <c r="AQ12" s="1"/>
  <c r="AF15"/>
  <c r="AP15" s="1"/>
  <c r="AE17"/>
  <c r="AO17" s="1"/>
  <c r="AE18"/>
  <c r="AO18" s="1"/>
  <c r="AE19"/>
  <c r="AO19" s="1"/>
  <c r="AF22"/>
  <c r="AP22" s="1"/>
  <c r="AG28"/>
  <c r="AQ28" s="1"/>
  <c r="AR11"/>
  <c r="AI11"/>
  <c r="AO36"/>
  <c r="AQ40"/>
  <c r="AR19"/>
  <c r="AI19"/>
  <c r="AE37"/>
  <c r="AO37" s="1"/>
  <c r="AQ23"/>
  <c r="AF3"/>
  <c r="AP3" s="1"/>
  <c r="AH5"/>
  <c r="AE6"/>
  <c r="AO6" s="1"/>
  <c r="AF11"/>
  <c r="AP11" s="1"/>
  <c r="AH13"/>
  <c r="AE14"/>
  <c r="AO14" s="1"/>
  <c r="AI18"/>
  <c r="AF19"/>
  <c r="AP19" s="1"/>
  <c r="AF27"/>
  <c r="AP27" s="1"/>
  <c r="AE30"/>
  <c r="AO30" s="1"/>
  <c r="AF35"/>
  <c r="AP35" s="1"/>
  <c r="AF43"/>
  <c r="AP43" s="1"/>
  <c r="AE3"/>
  <c r="AO3" s="1"/>
  <c r="AG5"/>
  <c r="AQ5" s="1"/>
  <c r="AG13"/>
  <c r="AQ13" s="1"/>
  <c r="AG21"/>
  <c r="AQ21" s="1"/>
  <c r="AG29"/>
  <c r="AQ29" s="1"/>
  <c r="AG37"/>
  <c r="AQ37" s="1"/>
  <c r="AF5"/>
  <c r="AP5" s="1"/>
  <c r="AF13"/>
  <c r="AP13" s="1"/>
  <c r="AF21"/>
  <c r="AF37"/>
  <c r="AH4"/>
  <c r="AH12"/>
  <c r="AI17"/>
  <c r="AO26"/>
  <c r="AE29"/>
  <c r="AH36"/>
  <c r="AF4"/>
  <c r="AP4" s="1"/>
  <c r="AH6"/>
  <c r="AI7" s="1"/>
  <c r="AF12"/>
  <c r="AP12" s="1"/>
  <c r="AH14"/>
  <c r="AF20"/>
  <c r="AF28"/>
  <c r="AP28" s="1"/>
  <c r="AF36"/>
  <c r="AP36" s="1"/>
  <c r="AG41"/>
  <c r="AH3"/>
  <c r="AI8"/>
  <c r="AI16"/>
  <c r="AH43"/>
  <c r="AO29" l="1"/>
  <c r="AJ29"/>
  <c r="AT29" s="1"/>
  <c r="AJ27"/>
  <c r="AT27" s="1"/>
  <c r="AJ28"/>
  <c r="AT28" s="1"/>
  <c r="AP21"/>
  <c r="AJ21"/>
  <c r="AT21" s="1"/>
  <c r="AP37"/>
  <c r="AJ37"/>
  <c r="AT37" s="1"/>
  <c r="AP39"/>
  <c r="AJ39"/>
  <c r="AT39" s="1"/>
  <c r="AP40"/>
  <c r="AJ40"/>
  <c r="AT40" s="1"/>
  <c r="AP20"/>
  <c r="AJ20"/>
  <c r="AT20" s="1"/>
  <c r="AH20"/>
  <c r="AI9"/>
  <c r="AI10"/>
  <c r="AL10" s="1"/>
  <c r="AV10" s="1"/>
  <c r="AO40"/>
  <c r="AE38"/>
  <c r="AO38" s="1"/>
  <c r="AD56"/>
  <c r="AH55"/>
  <c r="AC60"/>
  <c r="AC63" s="1"/>
  <c r="AE22"/>
  <c r="AI2"/>
  <c r="AL2" s="1"/>
  <c r="AH37"/>
  <c r="AI37" s="1"/>
  <c r="AO41"/>
  <c r="AH39"/>
  <c r="AQ39"/>
  <c r="AH40"/>
  <c r="AR40" s="1"/>
  <c r="AH27"/>
  <c r="AI27" s="1"/>
  <c r="AS17"/>
  <c r="AL17"/>
  <c r="AV17" s="1"/>
  <c r="AL7"/>
  <c r="AV7" s="1"/>
  <c r="AS7"/>
  <c r="AR14"/>
  <c r="AI14"/>
  <c r="AR20"/>
  <c r="AI20"/>
  <c r="AS18"/>
  <c r="AL18"/>
  <c r="AV18" s="1"/>
  <c r="AQ41"/>
  <c r="AH41"/>
  <c r="AO42"/>
  <c r="AH42"/>
  <c r="AI43" s="1"/>
  <c r="AI15"/>
  <c r="AR3"/>
  <c r="AI3"/>
  <c r="AR5"/>
  <c r="AI5"/>
  <c r="AH28"/>
  <c r="AF29"/>
  <c r="AH29" s="1"/>
  <c r="AH21"/>
  <c r="AJ43"/>
  <c r="AT43" s="1"/>
  <c r="AS8"/>
  <c r="AL8"/>
  <c r="AV8" s="1"/>
  <c r="AS19"/>
  <c r="AL19"/>
  <c r="AV19" s="1"/>
  <c r="AS16"/>
  <c r="AL16"/>
  <c r="AV16" s="1"/>
  <c r="AR36"/>
  <c r="AR4"/>
  <c r="AI4"/>
  <c r="AS11"/>
  <c r="AL11"/>
  <c r="AV11" s="1"/>
  <c r="AS9"/>
  <c r="AL9"/>
  <c r="AV9" s="1"/>
  <c r="AR43"/>
  <c r="AR6"/>
  <c r="AI6"/>
  <c r="AR12"/>
  <c r="AI12"/>
  <c r="AR13"/>
  <c r="AI13"/>
  <c r="AE31"/>
  <c r="AS10" l="1"/>
  <c r="AR37"/>
  <c r="AS2"/>
  <c r="AH38"/>
  <c r="AR38" s="1"/>
  <c r="AI22"/>
  <c r="AL22" s="1"/>
  <c r="AV22" s="1"/>
  <c r="AO22"/>
  <c r="AE23"/>
  <c r="AH22"/>
  <c r="AR22" s="1"/>
  <c r="AR27"/>
  <c r="AR39"/>
  <c r="AI39"/>
  <c r="AI40"/>
  <c r="AL40" s="1"/>
  <c r="AV40" s="1"/>
  <c r="AR29"/>
  <c r="AI29"/>
  <c r="AS43"/>
  <c r="AL43"/>
  <c r="AV43" s="1"/>
  <c r="AP29"/>
  <c r="AF30"/>
  <c r="AJ31" s="1"/>
  <c r="AT31" s="1"/>
  <c r="AL15"/>
  <c r="AV15" s="1"/>
  <c r="AS15"/>
  <c r="AL20"/>
  <c r="AS20"/>
  <c r="AS6"/>
  <c r="AL6"/>
  <c r="AV6" s="1"/>
  <c r="AS3"/>
  <c r="AL3"/>
  <c r="AV3" s="1"/>
  <c r="AS37"/>
  <c r="AL37"/>
  <c r="AV37" s="1"/>
  <c r="AL12"/>
  <c r="AV12" s="1"/>
  <c r="AS12"/>
  <c r="AS27"/>
  <c r="AL27"/>
  <c r="AV27" s="1"/>
  <c r="AM4"/>
  <c r="AW4" s="1"/>
  <c r="AV2"/>
  <c r="AM2"/>
  <c r="AW2" s="1"/>
  <c r="AM3"/>
  <c r="AW3" s="1"/>
  <c r="AR21"/>
  <c r="AI21"/>
  <c r="AS13"/>
  <c r="AL13"/>
  <c r="AV13" s="1"/>
  <c r="AL4"/>
  <c r="AV4" s="1"/>
  <c r="AS4"/>
  <c r="AS5"/>
  <c r="AL5"/>
  <c r="AV5" s="1"/>
  <c r="AR41"/>
  <c r="AI41"/>
  <c r="AO31"/>
  <c r="AE32"/>
  <c r="AH31"/>
  <c r="AR28"/>
  <c r="AI28"/>
  <c r="AR42"/>
  <c r="AI42"/>
  <c r="AS14"/>
  <c r="AL14"/>
  <c r="AV14" s="1"/>
  <c r="AS40" l="1"/>
  <c r="AI38"/>
  <c r="AS22"/>
  <c r="AE24"/>
  <c r="AO23"/>
  <c r="AH23"/>
  <c r="AM13"/>
  <c r="AW13" s="1"/>
  <c r="AM6"/>
  <c r="AW6" s="1"/>
  <c r="AS39"/>
  <c r="AL39"/>
  <c r="AM16"/>
  <c r="AW16" s="1"/>
  <c r="AM12"/>
  <c r="AW12" s="1"/>
  <c r="AM5"/>
  <c r="AW5" s="1"/>
  <c r="AV20"/>
  <c r="AM20"/>
  <c r="AW20" s="1"/>
  <c r="AM15"/>
  <c r="AW15" s="1"/>
  <c r="AM40"/>
  <c r="AW40" s="1"/>
  <c r="AS29"/>
  <c r="AL29"/>
  <c r="AV29" s="1"/>
  <c r="AM8"/>
  <c r="AW8" s="1"/>
  <c r="AM7"/>
  <c r="AW7" s="1"/>
  <c r="AS41"/>
  <c r="AL41"/>
  <c r="AV41" s="1"/>
  <c r="AR31"/>
  <c r="AS21"/>
  <c r="AL21"/>
  <c r="AV21" s="1"/>
  <c r="AM19"/>
  <c r="AW19" s="1"/>
  <c r="AM18"/>
  <c r="AW18" s="1"/>
  <c r="AE33"/>
  <c r="AH32"/>
  <c r="AO32"/>
  <c r="AL28"/>
  <c r="AV28" s="1"/>
  <c r="AS28"/>
  <c r="AM11"/>
  <c r="AW11" s="1"/>
  <c r="AM10"/>
  <c r="AW10" s="1"/>
  <c r="AM17"/>
  <c r="AW17" s="1"/>
  <c r="AM41"/>
  <c r="AW41" s="1"/>
  <c r="AS42"/>
  <c r="AL42"/>
  <c r="AV42" s="1"/>
  <c r="AP30"/>
  <c r="AJ30"/>
  <c r="AT30" s="1"/>
  <c r="AH30"/>
  <c r="AM14"/>
  <c r="AW14" s="1"/>
  <c r="AM9"/>
  <c r="AW9" s="1"/>
  <c r="AL38" l="1"/>
  <c r="AV38" s="1"/>
  <c r="AS38"/>
  <c r="AJ24"/>
  <c r="AT24" s="1"/>
  <c r="AH24"/>
  <c r="AE25"/>
  <c r="AO24"/>
  <c r="AI23"/>
  <c r="AR23"/>
  <c r="AV39"/>
  <c r="AM42"/>
  <c r="AW42" s="1"/>
  <c r="AM43"/>
  <c r="AW43" s="1"/>
  <c r="AO33"/>
  <c r="AE34"/>
  <c r="AH33"/>
  <c r="AM22"/>
  <c r="AW22" s="1"/>
  <c r="AR32"/>
  <c r="AI32"/>
  <c r="AM21"/>
  <c r="AW21" s="1"/>
  <c r="AR30"/>
  <c r="AI30"/>
  <c r="AI31"/>
  <c r="AI24" l="1"/>
  <c r="AR24"/>
  <c r="AJ26"/>
  <c r="AT26" s="1"/>
  <c r="AJ25"/>
  <c r="AT25" s="1"/>
  <c r="AH25"/>
  <c r="AO25"/>
  <c r="AS23"/>
  <c r="AL23"/>
  <c r="AO34"/>
  <c r="AE35"/>
  <c r="AH34"/>
  <c r="AL31"/>
  <c r="AS31"/>
  <c r="AS30"/>
  <c r="AL30"/>
  <c r="AV30" s="1"/>
  <c r="AR33"/>
  <c r="AI33"/>
  <c r="AS32"/>
  <c r="AL32"/>
  <c r="AV32" s="1"/>
  <c r="AV31" l="1"/>
  <c r="AM39"/>
  <c r="AW39" s="1"/>
  <c r="AL24"/>
  <c r="AV24" s="1"/>
  <c r="AS24"/>
  <c r="AI26"/>
  <c r="AI25"/>
  <c r="AR25"/>
  <c r="AV23"/>
  <c r="AM23"/>
  <c r="AW23" s="1"/>
  <c r="AM24"/>
  <c r="AW24" s="1"/>
  <c r="AS33"/>
  <c r="AL33"/>
  <c r="AO35"/>
  <c r="AJ36"/>
  <c r="AT36" s="1"/>
  <c r="AH35"/>
  <c r="AR34"/>
  <c r="AI34"/>
  <c r="AL26" l="1"/>
  <c r="AV26" s="1"/>
  <c r="AS26"/>
  <c r="AM33"/>
  <c r="AW33" s="1"/>
  <c r="AL25"/>
  <c r="AS25"/>
  <c r="AR35"/>
  <c r="AI35"/>
  <c r="AI36"/>
  <c r="AS34"/>
  <c r="AL34"/>
  <c r="AV33"/>
  <c r="AM34"/>
  <c r="AW34" s="1"/>
  <c r="AM32" l="1"/>
  <c r="AW32" s="1"/>
  <c r="AM25"/>
  <c r="AW25" s="1"/>
  <c r="AM27"/>
  <c r="AW27" s="1"/>
  <c r="AM29"/>
  <c r="AW29" s="1"/>
  <c r="AM28"/>
  <c r="AW28" s="1"/>
  <c r="AM30"/>
  <c r="AW30" s="1"/>
  <c r="AM31"/>
  <c r="AW31" s="1"/>
  <c r="AV25"/>
  <c r="AM26"/>
  <c r="AW26" s="1"/>
  <c r="AL36"/>
  <c r="AV36" s="1"/>
  <c r="AS36"/>
  <c r="AV34"/>
  <c r="AM38"/>
  <c r="AW38" s="1"/>
  <c r="AS35"/>
  <c r="AL35"/>
  <c r="AM37" l="1"/>
  <c r="AW37" s="1"/>
  <c r="AM36"/>
  <c r="AW36" s="1"/>
  <c r="AV35"/>
  <c r="AM35"/>
  <c r="AW35" s="1"/>
</calcChain>
</file>

<file path=xl/comments1.xml><?xml version="1.0" encoding="utf-8"?>
<comments xmlns="http://schemas.openxmlformats.org/spreadsheetml/2006/main">
  <authors>
    <author>Dale Furrow</author>
  </authors>
  <commentList>
    <comment ref="C1" authorId="0">
      <text>
        <r>
          <rPr>
            <b/>
            <sz val="9"/>
            <color indexed="81"/>
            <rFont val="Tahoma"/>
            <family val="2"/>
          </rPr>
          <t>Dale Furrow:</t>
        </r>
        <r>
          <rPr>
            <sz val="9"/>
            <color indexed="81"/>
            <rFont val="Tahoma"/>
            <family val="2"/>
          </rPr>
          <t xml:space="preserve">
This is the Transaction Activity Report for the test MD data set</t>
        </r>
      </text>
    </comment>
  </commentList>
</comments>
</file>

<file path=xl/comments2.xml><?xml version="1.0" encoding="utf-8"?>
<comments xmlns="http://schemas.openxmlformats.org/spreadsheetml/2006/main">
  <authors>
    <author>Dale Furrow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Dale Furrow:</t>
        </r>
        <r>
          <rPr>
            <sz val="9"/>
            <color indexed="81"/>
            <rFont val="Tahoma"/>
            <family val="2"/>
          </rPr>
          <t xml:space="preserve">
This page provides an example of Mark-to-Market "T-account" entries for typical security transactions</t>
        </r>
      </text>
    </comment>
    <comment ref="F15" authorId="0">
      <text>
        <r>
          <rPr>
            <b/>
            <sz val="9"/>
            <color indexed="81"/>
            <rFont val="Tahoma"/>
            <family val="2"/>
          </rPr>
          <t>Dale Furrow:</t>
        </r>
        <r>
          <rPr>
            <sz val="9"/>
            <color indexed="81"/>
            <rFont val="Tahoma"/>
            <family val="2"/>
          </rPr>
          <t xml:space="preserve">
Split-Adjust Previous Price Here</t>
        </r>
      </text>
    </comment>
    <comment ref="A36" authorId="0">
      <text>
        <r>
          <rPr>
            <b/>
            <sz val="9"/>
            <color indexed="81"/>
            <rFont val="Tahoma"/>
            <family val="2"/>
          </rPr>
          <t>Dale Furrow:</t>
        </r>
        <r>
          <rPr>
            <sz val="9"/>
            <color indexed="81"/>
            <rFont val="Tahoma"/>
            <family val="2"/>
          </rPr>
          <t xml:space="preserve">
Can Transfer Equations for Long Transaction, excpt substitue "Short Basis" Column for "Long Basis" Column
</t>
        </r>
      </text>
    </comment>
    <comment ref="A40" authorId="0">
      <text>
        <r>
          <rPr>
            <b/>
            <sz val="9"/>
            <color indexed="81"/>
            <rFont val="Tahoma"/>
            <family val="2"/>
          </rPr>
          <t>Dale Furrow:</t>
        </r>
        <r>
          <rPr>
            <sz val="9"/>
            <color indexed="81"/>
            <rFont val="Tahoma"/>
            <family val="2"/>
          </rPr>
          <t xml:space="preserve">
Note that here we are accounting for the payments of dividend as a change in basis on short position.  It might also be accounted for as an expense…it depends on the holding period for the security</t>
        </r>
      </text>
    </comment>
    <comment ref="F49" authorId="0">
      <text>
        <r>
          <rPr>
            <b/>
            <sz val="9"/>
            <color indexed="81"/>
            <rFont val="Tahoma"/>
            <family val="2"/>
          </rPr>
          <t>Dale Furrow:</t>
        </r>
        <r>
          <rPr>
            <sz val="9"/>
            <color indexed="81"/>
            <rFont val="Tahoma"/>
            <family val="2"/>
          </rPr>
          <t xml:space="preserve">
Split-Adjust Previous Price Here</t>
        </r>
      </text>
    </comment>
  </commentList>
</comments>
</file>

<file path=xl/comments3.xml><?xml version="1.0" encoding="utf-8"?>
<comments xmlns="http://schemas.openxmlformats.org/spreadsheetml/2006/main">
  <authors>
    <author>Dale Furrow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Dale Furrow:</t>
        </r>
        <r>
          <rPr>
            <sz val="9"/>
            <color indexed="81"/>
            <rFont val="Tahoma"/>
            <family val="2"/>
          </rPr>
          <t xml:space="preserve">
This page is raw output from the "CheckRepFromTo" class.  This provides a data dump of the report's intermediate values in order to faciliate checking.</t>
        </r>
      </text>
    </comment>
  </commentList>
</comments>
</file>

<file path=xl/comments4.xml><?xml version="1.0" encoding="utf-8"?>
<comments xmlns="http://schemas.openxmlformats.org/spreadsheetml/2006/main">
  <authors>
    <author>Dale Furrow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Dale Furrow:</t>
        </r>
        <r>
          <rPr>
            <sz val="9"/>
            <color indexed="81"/>
            <rFont val="Tahoma"/>
            <family val="2"/>
          </rPr>
          <t xml:space="preserve">
This page demonstrates a check of the Total Return and Annualized Return for aggregated securitis in the StockBrokerage1 Account</t>
        </r>
      </text>
    </comment>
  </commentList>
</comments>
</file>

<file path=xl/sharedStrings.xml><?xml version="1.0" encoding="utf-8"?>
<sst xmlns="http://schemas.openxmlformats.org/spreadsheetml/2006/main" count="1036" uniqueCount="185">
  <si>
    <t xml:space="preserve">ParentAcct </t>
  </si>
  <si>
    <t xml:space="preserve">Security </t>
  </si>
  <si>
    <t xml:space="preserve">TxnNum </t>
  </si>
  <si>
    <t>Date</t>
  </si>
  <si>
    <t>TxnType</t>
  </si>
  <si>
    <t>Desc</t>
  </si>
  <si>
    <t>Buy</t>
  </si>
  <si>
    <t>Sell</t>
  </si>
  <si>
    <t>Short</t>
  </si>
  <si>
    <t>Cover</t>
  </si>
  <si>
    <t>Commison</t>
  </si>
  <si>
    <t>Income</t>
  </si>
  <si>
    <t>Expense</t>
  </si>
  <si>
    <t>transfer</t>
  </si>
  <si>
    <t>cashEffect</t>
  </si>
  <si>
    <t>secQuantity</t>
  </si>
  <si>
    <t>MktPrice</t>
  </si>
  <si>
    <t>Position</t>
  </si>
  <si>
    <t>LongBasis</t>
  </si>
  <si>
    <t>ShortBasis</t>
  </si>
  <si>
    <t>OpenValue</t>
  </si>
  <si>
    <t>CumUnrealGain</t>
  </si>
  <si>
    <t>PerUnrealGain</t>
  </si>
  <si>
    <t>PerRealGain</t>
  </si>
  <si>
    <t>PerInc_Exp</t>
  </si>
  <si>
    <t>PerTotalGain</t>
  </si>
  <si>
    <t>CumTotalGain</t>
  </si>
  <si>
    <t>StockBrokerage1</t>
  </si>
  <si>
    <t>BANK</t>
  </si>
  <si>
    <t>Transfer Cash To Stock Brokerage</t>
  </si>
  <si>
    <t>Account Opening Fee</t>
  </si>
  <si>
    <t>Account Interest</t>
  </si>
  <si>
    <t>account Interest</t>
  </si>
  <si>
    <t>Transfer Out to Checking</t>
  </si>
  <si>
    <t>Transfer Again out to checking</t>
  </si>
  <si>
    <t>StockBrokerage2</t>
  </si>
  <si>
    <t>Xfr from Checking</t>
  </si>
  <si>
    <t>Aeropostale</t>
  </si>
  <si>
    <t>BUY</t>
  </si>
  <si>
    <t>Buy ARO (Split Test)</t>
  </si>
  <si>
    <t>Buy ARO</t>
  </si>
  <si>
    <t>DIVIDEND</t>
  </si>
  <si>
    <t>Dividend ARO</t>
  </si>
  <si>
    <t>MISCEXP</t>
  </si>
  <si>
    <t>Tax Expense ARO</t>
  </si>
  <si>
    <t>SELL</t>
  </si>
  <si>
    <t>Sell ARO</t>
  </si>
  <si>
    <t>SELL_XFER</t>
  </si>
  <si>
    <t>Sell Xfer ARO</t>
  </si>
  <si>
    <t>Sell  ARO</t>
  </si>
  <si>
    <t>Citigroup</t>
  </si>
  <si>
    <t>SHORT</t>
  </si>
  <si>
    <t>short Citi</t>
  </si>
  <si>
    <t>Short Citi</t>
  </si>
  <si>
    <t>Payment of Divs on Short Citi</t>
  </si>
  <si>
    <t>COVER</t>
  </si>
  <si>
    <t>Cover Citigroup</t>
  </si>
  <si>
    <t>Dell</t>
  </si>
  <si>
    <t>Buy Dell</t>
  </si>
  <si>
    <t>DIVIDENDXFR</t>
  </si>
  <si>
    <t>Dividend Transfer Dell</t>
  </si>
  <si>
    <t>Vanguard S&amp;P 500 Fund</t>
  </si>
  <si>
    <t>Buy Vanguard</t>
  </si>
  <si>
    <t>DIVIDEND_REINVEST</t>
  </si>
  <si>
    <t>Dividend Reinvest Vanguard</t>
  </si>
  <si>
    <t>MISCINC</t>
  </si>
  <si>
    <t>LTCAP Vanguard</t>
  </si>
  <si>
    <t>Sell VFINX</t>
  </si>
  <si>
    <t>Yahoo</t>
  </si>
  <si>
    <t>BUY_XFER</t>
  </si>
  <si>
    <t>Buy Yahoo</t>
  </si>
  <si>
    <t>Return of Capital from Yahoo</t>
  </si>
  <si>
    <t>Financial Select Sector SPDR</t>
  </si>
  <si>
    <t>Buy XLF</t>
  </si>
  <si>
    <t>Sell XLF</t>
  </si>
  <si>
    <t>Long Basis</t>
  </si>
  <si>
    <t>Short Basis</t>
  </si>
  <si>
    <t>Cumulative UnrealizedGain</t>
  </si>
  <si>
    <t>Period Unrealized Gain</t>
  </si>
  <si>
    <t>Period Realized Gain</t>
  </si>
  <si>
    <t>Period Cash Income/Expense</t>
  </si>
  <si>
    <t>Period Total Gain</t>
  </si>
  <si>
    <t>Cumulative Total Gain</t>
  </si>
  <si>
    <t>Cash</t>
  </si>
  <si>
    <t>Current Long Basis</t>
  </si>
  <si>
    <t>Prev Real Gain</t>
  </si>
  <si>
    <t>Plust Transfer from Unreal</t>
  </si>
  <si>
    <t>Plus Increment from Sale</t>
  </si>
  <si>
    <t>End Realized gain</t>
  </si>
  <si>
    <t>Previous Unreal Gain</t>
  </si>
  <si>
    <t>Transfer of Prev Unreal Gain to Cash</t>
  </si>
  <si>
    <t>Current Unrealized Gain</t>
  </si>
  <si>
    <t>Cumulative Unrealized Gains</t>
  </si>
  <si>
    <t>Cumulative Realized  Gains</t>
  </si>
  <si>
    <t>Previous Realized Gains</t>
  </si>
  <si>
    <t>Total Realized Gain</t>
  </si>
  <si>
    <t>Previous Long Basis</t>
  </si>
  <si>
    <t>Less Transfer to Cash</t>
  </si>
  <si>
    <t>Transfer from Unreal</t>
  </si>
  <si>
    <t>End Unrealized Gain</t>
  </si>
  <si>
    <t>Period Unrealized Gain (Current Position)</t>
  </si>
  <si>
    <t>Period Unrealized Gain (Sale Position)</t>
  </si>
  <si>
    <t>Transfer of Period Unrealized Gain to Cash</t>
  </si>
  <si>
    <t>Split Ratio</t>
  </si>
  <si>
    <t>*</t>
  </si>
  <si>
    <t>* Need to add this quantity back for buys/sells</t>
  </si>
  <si>
    <t>Gain of Previous Position</t>
  </si>
  <si>
    <t>Gain of Purchase Position</t>
  </si>
  <si>
    <t>End Unreal Gain</t>
  </si>
  <si>
    <t>Gain of Total Position</t>
  </si>
  <si>
    <t>Less Gain Associated with Purchase</t>
  </si>
  <si>
    <t>Transfer of Prev Unreal Gain (Sale Pos) to Cash</t>
  </si>
  <si>
    <t>Less Gain Associated with Sale</t>
  </si>
  <si>
    <t>Previous Short Basis</t>
  </si>
  <si>
    <t>Current Short Basis</t>
  </si>
  <si>
    <t>SHORT Transaction</t>
  </si>
  <si>
    <t>LONG Transaction</t>
  </si>
  <si>
    <t>Accounting for Transaction 4 (reduce long position)</t>
  </si>
  <si>
    <t>Accounting for Transaction 18 (add to long position)</t>
  </si>
  <si>
    <t>Alternative Formulation, Transaction 18 (add to long position)</t>
  </si>
  <si>
    <t>Accounting for Transaction 96 (reduce short position)</t>
  </si>
  <si>
    <t>Accounting for Transaction 16 (add to short position)</t>
  </si>
  <si>
    <t>Alternative Formulation, Transaction 16 (add to short position)</t>
  </si>
  <si>
    <t>Gain of Short Sale Position</t>
  </si>
  <si>
    <t>Adds to change in CumUnrealGain</t>
  </si>
  <si>
    <t>Report: From/To</t>
  </si>
  <si>
    <t xml:space="preserve">Account: </t>
  </si>
  <si>
    <t>Ticker:</t>
  </si>
  <si>
    <t>C</t>
  </si>
  <si>
    <t xml:space="preserve">AggType: </t>
  </si>
  <si>
    <t>SEC</t>
  </si>
  <si>
    <t xml:space="preserve">From: </t>
  </si>
  <si>
    <t xml:space="preserve">To: </t>
  </si>
  <si>
    <t xml:space="preserve">StartPos: </t>
  </si>
  <si>
    <t xml:space="preserve">StartPrice: </t>
  </si>
  <si>
    <t>StartValue:</t>
  </si>
  <si>
    <t xml:space="preserve">EndPos: </t>
  </si>
  <si>
    <t xml:space="preserve">EndPrice: </t>
  </si>
  <si>
    <t>EndValue:</t>
  </si>
  <si>
    <t xml:space="preserve">StartCash: </t>
  </si>
  <si>
    <t xml:space="preserve">EndCash: </t>
  </si>
  <si>
    <t>InitBal:</t>
  </si>
  <si>
    <t xml:space="preserve">Buy: </t>
  </si>
  <si>
    <t xml:space="preserve">Sell: </t>
  </si>
  <si>
    <t>Short:</t>
  </si>
  <si>
    <t>CoverShort:</t>
  </si>
  <si>
    <t xml:space="preserve">Income: </t>
  </si>
  <si>
    <t xml:space="preserve">Expense: </t>
  </si>
  <si>
    <t xml:space="preserve">LongBasis: </t>
  </si>
  <si>
    <t xml:space="preserve">ShortBasis: </t>
  </si>
  <si>
    <t xml:space="preserve">RealizedGain: </t>
  </si>
  <si>
    <t xml:space="preserve">UnrealizedGain: </t>
  </si>
  <si>
    <t>-52.296279069767536TotalGain:</t>
  </si>
  <si>
    <t>Maps</t>
  </si>
  <si>
    <t>arMap</t>
  </si>
  <si>
    <t>mdMap</t>
  </si>
  <si>
    <t>transMap</t>
  </si>
  <si>
    <t>Value</t>
  </si>
  <si>
    <t xml:space="preserve">mdReturn: </t>
  </si>
  <si>
    <t xml:space="preserve">AnnualReturn: </t>
  </si>
  <si>
    <t>DELL</t>
  </si>
  <si>
    <t>1127.9999999999982TotalGain:</t>
  </si>
  <si>
    <t>ARO</t>
  </si>
  <si>
    <t>0.0TotalGain:</t>
  </si>
  <si>
    <t>VFINX</t>
  </si>
  <si>
    <t>-2318.268701516061TotalGain:</t>
  </si>
  <si>
    <t>YHOO</t>
  </si>
  <si>
    <t>-83.70000000000005TotalGain:</t>
  </si>
  <si>
    <t>~Null</t>
  </si>
  <si>
    <t>ACCT_SEC</t>
  </si>
  <si>
    <t>-1326.2649805858302TotalGain:</t>
  </si>
  <si>
    <t>ACCT_CASH</t>
  </si>
  <si>
    <t>ACCT_SEC_PLUS_CASH</t>
  </si>
  <si>
    <t>XLF</t>
  </si>
  <si>
    <t>-408.17999999999984TotalGain:</t>
  </si>
  <si>
    <t>ALL</t>
  </si>
  <si>
    <t>NoTicker</t>
  </si>
  <si>
    <t>ALL_SEC</t>
  </si>
  <si>
    <t>-1734.44498058583TotalGain:</t>
  </si>
  <si>
    <t>ALL_CASH</t>
  </si>
  <si>
    <t>ALL_SEC_PLUS_CASH</t>
  </si>
  <si>
    <t>Check</t>
  </si>
  <si>
    <t>TotalGain:</t>
  </si>
  <si>
    <t>Difference</t>
  </si>
  <si>
    <t>arMap w/ Start And End Value added for XIRR Check</t>
  </si>
</sst>
</file>

<file path=xl/styles.xml><?xml version="1.0" encoding="utf-8"?>
<styleSheet xmlns="http://schemas.openxmlformats.org/spreadsheetml/2006/main">
  <numFmts count="3">
    <numFmt numFmtId="41" formatCode="_(* #,##0_);_(* \(#,##0\);_(* &quot;-&quot;_);_(@_)"/>
    <numFmt numFmtId="43" formatCode="_(* #,##0.00_);_(* \(#,##0.00\);_(* &quot;-&quot;??_);_(@_)"/>
    <numFmt numFmtId="164" formatCode="_(* #,##0.000_);_(* \(#,##0.000\);_(* &quot;-&quot;??_);_(@_)"/>
  </numFmts>
  <fonts count="14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70C0"/>
      <name val="Arial"/>
      <family val="2"/>
    </font>
    <font>
      <b/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70C0"/>
      <name val="Arial"/>
      <family val="2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A5A5A5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4" fillId="3" borderId="1" applyNumberFormat="0" applyFill="0" applyBorder="0" applyAlignment="0" applyProtection="0"/>
    <xf numFmtId="0" fontId="8" fillId="4" borderId="0" applyNumberFormat="0" applyBorder="0" applyAlignment="0" applyProtection="0"/>
    <xf numFmtId="0" fontId="9" fillId="5" borderId="2" applyNumberFormat="0" applyAlignment="0" applyProtection="0"/>
  </cellStyleXfs>
  <cellXfs count="24">
    <xf numFmtId="0" fontId="0" fillId="0" borderId="0" xfId="0"/>
    <xf numFmtId="14" fontId="0" fillId="0" borderId="0" xfId="0" applyNumberFormat="1"/>
    <xf numFmtId="0" fontId="1" fillId="0" borderId="0" xfId="0" applyFont="1" applyAlignment="1">
      <alignment horizontal="right" wrapText="1"/>
    </xf>
    <xf numFmtId="0" fontId="1" fillId="0" borderId="0" xfId="0" applyFont="1" applyFill="1" applyBorder="1" applyAlignment="1">
      <alignment horizontal="right" wrapText="1"/>
    </xf>
    <xf numFmtId="0" fontId="1" fillId="0" borderId="0" xfId="0" applyFont="1" applyAlignment="1">
      <alignment horizontal="center" wrapText="1"/>
    </xf>
    <xf numFmtId="43" fontId="1" fillId="0" borderId="0" xfId="0" applyNumberFormat="1" applyFont="1"/>
    <xf numFmtId="41" fontId="1" fillId="0" borderId="0" xfId="0" applyNumberFormat="1" applyFont="1"/>
    <xf numFmtId="43" fontId="0" fillId="0" borderId="0" xfId="0" applyNumberFormat="1"/>
    <xf numFmtId="0" fontId="2" fillId="2" borderId="0" xfId="1"/>
    <xf numFmtId="0" fontId="3" fillId="0" borderId="0" xfId="0" applyFont="1"/>
    <xf numFmtId="43" fontId="4" fillId="0" borderId="0" xfId="2" applyNumberFormat="1" applyFill="1" applyBorder="1"/>
    <xf numFmtId="0" fontId="5" fillId="0" borderId="0" xfId="0" applyFont="1"/>
    <xf numFmtId="43" fontId="2" fillId="2" borderId="0" xfId="1" applyNumberFormat="1"/>
    <xf numFmtId="164" fontId="0" fillId="0" borderId="0" xfId="0" applyNumberFormat="1"/>
    <xf numFmtId="0" fontId="8" fillId="4" borderId="0" xfId="3"/>
    <xf numFmtId="0" fontId="0" fillId="0" borderId="0" xfId="0" applyAlignment="1">
      <alignment wrapText="1"/>
    </xf>
    <xf numFmtId="15" fontId="0" fillId="0" borderId="0" xfId="0" applyNumberFormat="1"/>
    <xf numFmtId="0" fontId="9" fillId="5" borderId="2" xfId="4"/>
    <xf numFmtId="0" fontId="4" fillId="0" borderId="0" xfId="2" applyFill="1" applyBorder="1"/>
    <xf numFmtId="14" fontId="4" fillId="0" borderId="0" xfId="2" applyNumberFormat="1" applyFill="1" applyBorder="1"/>
    <xf numFmtId="0" fontId="10" fillId="0" borderId="0" xfId="2" applyFont="1" applyFill="1" applyBorder="1"/>
    <xf numFmtId="0" fontId="11" fillId="0" borderId="0" xfId="0" applyFont="1"/>
    <xf numFmtId="14" fontId="12" fillId="0" borderId="0" xfId="2" applyNumberFormat="1" applyFont="1" applyFill="1" applyBorder="1"/>
    <xf numFmtId="43" fontId="13" fillId="0" borderId="0" xfId="0" applyNumberFormat="1" applyFont="1"/>
  </cellXfs>
  <cellStyles count="5">
    <cellStyle name="Bad" xfId="1" builtinId="27"/>
    <cellStyle name="Check Cell" xfId="4" builtinId="23"/>
    <cellStyle name="Good" xfId="3" builtinId="26"/>
    <cellStyle name="Input" xfId="2" builtinId="20" customBuiltin="1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W75"/>
  <sheetViews>
    <sheetView tabSelected="1" topLeftCell="C1" zoomScale="85" zoomScaleNormal="85" workbookViewId="0">
      <selection activeCell="F2" sqref="F2"/>
    </sheetView>
  </sheetViews>
  <sheetFormatPr defaultRowHeight="15"/>
  <cols>
    <col min="3" max="3" width="10.28515625" bestFit="1" customWidth="1"/>
    <col min="4" max="4" width="10.7109375" bestFit="1" customWidth="1"/>
    <col min="5" max="5" width="32.140625" bestFit="1" customWidth="1"/>
    <col min="6" max="6" width="11.28515625" customWidth="1"/>
    <col min="7" max="7" width="10.5703125" bestFit="1" customWidth="1"/>
    <col min="8" max="8" width="8" customWidth="1"/>
    <col min="9" max="9" width="8.7109375" customWidth="1"/>
    <col min="10" max="10" width="11.28515625" customWidth="1"/>
    <col min="11" max="11" width="8" customWidth="1"/>
    <col min="12" max="12" width="9" customWidth="1"/>
    <col min="13" max="13" width="10.5703125" bestFit="1" customWidth="1"/>
    <col min="14" max="14" width="11.28515625" bestFit="1" customWidth="1"/>
    <col min="15" max="15" width="8.7109375" customWidth="1"/>
    <col min="16" max="16" width="8" customWidth="1"/>
    <col min="17" max="17" width="8.7109375" customWidth="1"/>
    <col min="18" max="18" width="10.5703125" bestFit="1" customWidth="1"/>
    <col min="19" max="19" width="8.7109375" customWidth="1"/>
    <col min="20" max="20" width="10.5703125" bestFit="1" customWidth="1"/>
    <col min="21" max="23" width="10.28515625" bestFit="1" customWidth="1"/>
    <col min="24" max="24" width="8" customWidth="1"/>
    <col min="25" max="26" width="10.28515625" bestFit="1" customWidth="1"/>
  </cols>
  <sheetData>
    <row r="1" spans="1:49" ht="34.5">
      <c r="A1" t="s">
        <v>1</v>
      </c>
      <c r="B1" t="s">
        <v>2</v>
      </c>
      <c r="C1" s="15" t="s">
        <v>3</v>
      </c>
      <c r="D1" s="15" t="s">
        <v>4</v>
      </c>
      <c r="E1" s="15" t="s">
        <v>5</v>
      </c>
      <c r="F1" s="15" t="s">
        <v>6</v>
      </c>
      <c r="G1" s="15" t="s">
        <v>7</v>
      </c>
      <c r="H1" s="15" t="s">
        <v>8</v>
      </c>
      <c r="I1" s="15" t="s">
        <v>9</v>
      </c>
      <c r="J1" s="15" t="s">
        <v>10</v>
      </c>
      <c r="K1" s="15" t="s">
        <v>11</v>
      </c>
      <c r="L1" s="15" t="s">
        <v>12</v>
      </c>
      <c r="M1" s="15" t="s">
        <v>13</v>
      </c>
      <c r="N1" s="15" t="s">
        <v>14</v>
      </c>
      <c r="O1" s="15" t="s">
        <v>15</v>
      </c>
      <c r="P1" s="15" t="s">
        <v>16</v>
      </c>
      <c r="Q1" s="15" t="s">
        <v>17</v>
      </c>
      <c r="R1" s="15" t="s">
        <v>18</v>
      </c>
      <c r="S1" s="15" t="s">
        <v>19</v>
      </c>
      <c r="T1" s="15" t="s">
        <v>20</v>
      </c>
      <c r="U1" s="15" t="s">
        <v>21</v>
      </c>
      <c r="V1" s="15" t="s">
        <v>22</v>
      </c>
      <c r="W1" s="15" t="s">
        <v>23</v>
      </c>
      <c r="X1" s="15" t="s">
        <v>24</v>
      </c>
      <c r="Y1" s="15" t="s">
        <v>25</v>
      </c>
      <c r="Z1" s="15" t="s">
        <v>26</v>
      </c>
      <c r="AD1" s="2" t="s">
        <v>17</v>
      </c>
      <c r="AE1" s="2" t="s">
        <v>75</v>
      </c>
      <c r="AF1" s="2" t="s">
        <v>76</v>
      </c>
      <c r="AG1" s="2" t="s">
        <v>20</v>
      </c>
      <c r="AH1" s="2" t="s">
        <v>77</v>
      </c>
      <c r="AI1" s="3" t="s">
        <v>78</v>
      </c>
      <c r="AJ1" s="2" t="s">
        <v>79</v>
      </c>
      <c r="AK1" s="2" t="s">
        <v>80</v>
      </c>
      <c r="AL1" s="2" t="s">
        <v>81</v>
      </c>
      <c r="AM1" s="2" t="s">
        <v>82</v>
      </c>
      <c r="AN1" s="2"/>
      <c r="AO1" s="4" t="str">
        <f>+AE1</f>
        <v>Long Basis</v>
      </c>
      <c r="AP1" s="4" t="str">
        <f t="shared" ref="AP1:AW1" si="0">+AF1</f>
        <v>Short Basis</v>
      </c>
      <c r="AQ1" s="4" t="str">
        <f t="shared" si="0"/>
        <v>OpenValue</v>
      </c>
      <c r="AR1" s="4" t="str">
        <f t="shared" si="0"/>
        <v>Cumulative UnrealizedGain</v>
      </c>
      <c r="AS1" s="4" t="str">
        <f t="shared" si="0"/>
        <v>Period Unrealized Gain</v>
      </c>
      <c r="AT1" s="4" t="str">
        <f t="shared" si="0"/>
        <v>Period Realized Gain</v>
      </c>
      <c r="AU1" s="4" t="str">
        <f t="shared" si="0"/>
        <v>Period Cash Income/Expense</v>
      </c>
      <c r="AV1" s="4" t="str">
        <f t="shared" si="0"/>
        <v>Period Total Gain</v>
      </c>
      <c r="AW1" s="4" t="str">
        <f t="shared" si="0"/>
        <v>Cumulative Total Gain</v>
      </c>
    </row>
    <row r="2" spans="1:49">
      <c r="A2" t="s">
        <v>27</v>
      </c>
      <c r="B2">
        <v>59</v>
      </c>
      <c r="C2" s="16">
        <v>35828</v>
      </c>
      <c r="D2" s="1" t="s">
        <v>28</v>
      </c>
      <c r="E2" t="s">
        <v>29</v>
      </c>
      <c r="F2" s="7">
        <v>0</v>
      </c>
      <c r="G2" s="7">
        <v>0</v>
      </c>
      <c r="H2" s="7">
        <v>0</v>
      </c>
      <c r="I2" s="7">
        <v>0</v>
      </c>
      <c r="J2" s="7">
        <v>0</v>
      </c>
      <c r="K2" s="7">
        <v>0</v>
      </c>
      <c r="L2" s="7">
        <v>0</v>
      </c>
      <c r="M2" s="7">
        <v>15000</v>
      </c>
      <c r="N2" s="7">
        <v>15000</v>
      </c>
      <c r="O2" s="7">
        <v>0</v>
      </c>
      <c r="P2" s="7">
        <v>1</v>
      </c>
      <c r="Q2" s="7">
        <v>0</v>
      </c>
      <c r="R2" s="7">
        <v>0</v>
      </c>
      <c r="S2" s="7">
        <v>0</v>
      </c>
      <c r="T2" s="7">
        <v>0</v>
      </c>
      <c r="U2" s="7">
        <v>0</v>
      </c>
      <c r="V2" s="7">
        <v>0</v>
      </c>
      <c r="W2" s="7">
        <v>0</v>
      </c>
      <c r="X2" s="7">
        <v>0</v>
      </c>
      <c r="Y2" s="7">
        <v>0</v>
      </c>
      <c r="Z2" s="7">
        <v>0</v>
      </c>
      <c r="AD2" s="5">
        <f>+R2</f>
        <v>0</v>
      </c>
      <c r="AE2" s="5">
        <f>+IF(AD2&lt;=0,0,IF(AD2&gt;=IF(A2=A1,AD1,0),IF(A2=A1,AE1,0)-G2-K2,AE1+(AD2/AD1-1)*AE1))</f>
        <v>0</v>
      </c>
      <c r="AF2" s="5">
        <f>+IF(AD2&gt;=0,0,IF(AD2&lt;=IF(A2=A1,AD1,0),IF(A2=A1,AF1,0)-I2-K2,AF1+(AD2/AD1-1)*AF1))</f>
        <v>0</v>
      </c>
      <c r="AG2" s="5">
        <f>+Q2*AD2</f>
        <v>0</v>
      </c>
      <c r="AH2" s="5">
        <f t="shared" ref="AH2:AH43" si="1">+IF(AD2&gt;0,AG2-AE2,IF(AD2&lt;0,AG2-AF2,0))</f>
        <v>0</v>
      </c>
      <c r="AI2" s="5">
        <f>+AH2-IF(A2=A1,AH1,0)</f>
        <v>0</v>
      </c>
      <c r="AJ2" s="5">
        <f>+IF(H2,H2+(AE2-AE1)+K2,0)+IF(J2,J2+(AF2-AF1)+K2,0)</f>
        <v>0</v>
      </c>
      <c r="AK2" s="6">
        <f t="shared" ref="AK2:AK43" si="2">+L2+M2</f>
        <v>15000</v>
      </c>
      <c r="AL2" s="5">
        <f t="shared" ref="AL2:AL43" si="3">+AI2+AJ2+AK2</f>
        <v>15000</v>
      </c>
      <c r="AM2" s="5">
        <f>SUMIF(A$2:A2,A2,AL$2:AL2)</f>
        <v>15000</v>
      </c>
      <c r="AN2" s="5"/>
      <c r="AO2" s="5">
        <f>+AE2-S2</f>
        <v>0</v>
      </c>
      <c r="AP2" s="5">
        <f t="shared" ref="AP2:AW17" si="4">+AF2-T2</f>
        <v>0</v>
      </c>
      <c r="AQ2" s="5">
        <f t="shared" si="4"/>
        <v>0</v>
      </c>
      <c r="AR2" s="5">
        <f t="shared" si="4"/>
        <v>0</v>
      </c>
      <c r="AS2" s="5">
        <f t="shared" si="4"/>
        <v>0</v>
      </c>
      <c r="AT2" s="5">
        <f t="shared" si="4"/>
        <v>0</v>
      </c>
      <c r="AU2" s="5">
        <f t="shared" si="4"/>
        <v>15000</v>
      </c>
      <c r="AV2" s="5">
        <f t="shared" si="4"/>
        <v>15000</v>
      </c>
      <c r="AW2" s="5">
        <f t="shared" si="4"/>
        <v>15000</v>
      </c>
    </row>
    <row r="3" spans="1:49">
      <c r="A3" t="s">
        <v>27</v>
      </c>
      <c r="B3">
        <v>61</v>
      </c>
      <c r="C3" s="16">
        <v>35828</v>
      </c>
      <c r="D3" s="1" t="s">
        <v>28</v>
      </c>
      <c r="E3" t="s">
        <v>30</v>
      </c>
      <c r="F3" s="7">
        <v>0</v>
      </c>
      <c r="G3" s="7">
        <v>0</v>
      </c>
      <c r="H3" s="7">
        <v>0</v>
      </c>
      <c r="I3" s="7">
        <v>0</v>
      </c>
      <c r="J3" s="7">
        <v>0</v>
      </c>
      <c r="K3" s="7">
        <v>0</v>
      </c>
      <c r="L3" s="7">
        <v>-55.21</v>
      </c>
      <c r="M3" s="7">
        <v>0</v>
      </c>
      <c r="N3" s="7">
        <v>-55.21</v>
      </c>
      <c r="O3" s="7">
        <v>0</v>
      </c>
      <c r="P3" s="7">
        <v>1</v>
      </c>
      <c r="Q3" s="7">
        <v>0</v>
      </c>
      <c r="R3" s="7">
        <v>0</v>
      </c>
      <c r="S3" s="7">
        <v>0</v>
      </c>
      <c r="T3" s="7">
        <v>0</v>
      </c>
      <c r="U3" s="7">
        <v>0</v>
      </c>
      <c r="V3" s="7">
        <v>0</v>
      </c>
      <c r="W3" s="7">
        <v>0</v>
      </c>
      <c r="X3" s="7">
        <v>-55.21</v>
      </c>
      <c r="Y3" s="7">
        <v>-55.21</v>
      </c>
      <c r="Z3" s="7">
        <v>-55.21</v>
      </c>
      <c r="AD3" s="5">
        <f t="shared" ref="AD3:AD43" si="5">+R3</f>
        <v>0</v>
      </c>
      <c r="AE3" s="5">
        <f t="shared" ref="AE3:AE43" si="6">+IF(AD3&lt;=0,0,IF(AD3&gt;=IF(A3=A2,AD2,0),IF(A3=A2,AE2,0)-G3-K3,AE2+(AD3/AD2-1)*AE2))</f>
        <v>0</v>
      </c>
      <c r="AF3" s="5">
        <f t="shared" ref="AF3:AF43" si="7">+IF(AD3&gt;=0,0,IF(AD3&lt;=IF(A3=A2,AD2,0),IF(A3=A2,AF2,0)-I3-K3,AF2+(AD3/AD2-1)*AF2))</f>
        <v>0</v>
      </c>
      <c r="AG3" s="5">
        <f t="shared" ref="AG3:AG43" si="8">+Q3*AD3</f>
        <v>0</v>
      </c>
      <c r="AH3" s="5">
        <f t="shared" si="1"/>
        <v>0</v>
      </c>
      <c r="AI3" s="5">
        <f t="shared" ref="AI3:AI43" si="9">+AH3-IF(A3=A2,AH2,0)</f>
        <v>0</v>
      </c>
      <c r="AJ3" s="5">
        <f t="shared" ref="AJ3:AJ43" si="10">+IF(H3,H3+(AE3-AE2)+K3,0)+IF(J3,J3+(AF3-AF2)+K3,0)</f>
        <v>0</v>
      </c>
      <c r="AK3" s="6">
        <f t="shared" si="2"/>
        <v>-55.21</v>
      </c>
      <c r="AL3" s="5">
        <f t="shared" si="3"/>
        <v>-55.21</v>
      </c>
      <c r="AM3" s="5">
        <f>SUMIF(A$2:A3,A3,AL$2:AL3)</f>
        <v>14944.79</v>
      </c>
      <c r="AN3" s="5"/>
      <c r="AO3" s="5">
        <f t="shared" ref="AO3:AW43" si="11">+AE3-S3</f>
        <v>0</v>
      </c>
      <c r="AP3" s="5">
        <f t="shared" si="4"/>
        <v>0</v>
      </c>
      <c r="AQ3" s="5">
        <f t="shared" si="4"/>
        <v>0</v>
      </c>
      <c r="AR3" s="5">
        <f t="shared" si="4"/>
        <v>0</v>
      </c>
      <c r="AS3" s="5">
        <f t="shared" si="4"/>
        <v>0</v>
      </c>
      <c r="AT3" s="5">
        <f t="shared" si="4"/>
        <v>55.21</v>
      </c>
      <c r="AU3" s="5">
        <f t="shared" si="4"/>
        <v>0</v>
      </c>
      <c r="AV3" s="5">
        <f t="shared" si="4"/>
        <v>0</v>
      </c>
      <c r="AW3" s="5">
        <f t="shared" si="4"/>
        <v>14944.79</v>
      </c>
    </row>
    <row r="4" spans="1:49">
      <c r="A4" t="s">
        <v>27</v>
      </c>
      <c r="B4">
        <v>63</v>
      </c>
      <c r="C4" s="16">
        <v>36160</v>
      </c>
      <c r="D4" s="1" t="s">
        <v>28</v>
      </c>
      <c r="E4" t="s">
        <v>31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12</v>
      </c>
      <c r="L4" s="7">
        <v>0</v>
      </c>
      <c r="M4" s="7">
        <v>0</v>
      </c>
      <c r="N4" s="7">
        <v>12</v>
      </c>
      <c r="O4" s="7">
        <v>0</v>
      </c>
      <c r="P4" s="7">
        <v>1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12</v>
      </c>
      <c r="Y4" s="7">
        <v>12</v>
      </c>
      <c r="Z4" s="7">
        <v>-43.21</v>
      </c>
      <c r="AD4" s="5">
        <f t="shared" si="5"/>
        <v>0</v>
      </c>
      <c r="AE4" s="5">
        <f t="shared" si="6"/>
        <v>0</v>
      </c>
      <c r="AF4" s="5">
        <f t="shared" si="7"/>
        <v>0</v>
      </c>
      <c r="AG4" s="5">
        <f t="shared" si="8"/>
        <v>0</v>
      </c>
      <c r="AH4" s="5">
        <f t="shared" si="1"/>
        <v>0</v>
      </c>
      <c r="AI4" s="5">
        <f t="shared" si="9"/>
        <v>0</v>
      </c>
      <c r="AJ4" s="5">
        <f t="shared" si="10"/>
        <v>0</v>
      </c>
      <c r="AK4" s="6">
        <f t="shared" si="2"/>
        <v>0</v>
      </c>
      <c r="AL4" s="5">
        <f t="shared" si="3"/>
        <v>0</v>
      </c>
      <c r="AM4" s="5">
        <f>SUMIF(A$2:A4,A4,AL$2:AL4)</f>
        <v>14944.79</v>
      </c>
      <c r="AN4" s="5"/>
      <c r="AO4" s="5">
        <f t="shared" si="11"/>
        <v>0</v>
      </c>
      <c r="AP4" s="5">
        <f t="shared" si="4"/>
        <v>0</v>
      </c>
      <c r="AQ4" s="5">
        <f t="shared" si="4"/>
        <v>0</v>
      </c>
      <c r="AR4" s="5">
        <f t="shared" si="4"/>
        <v>0</v>
      </c>
      <c r="AS4" s="5">
        <f t="shared" si="4"/>
        <v>0</v>
      </c>
      <c r="AT4" s="5">
        <f t="shared" si="4"/>
        <v>-12</v>
      </c>
      <c r="AU4" s="5">
        <f t="shared" si="4"/>
        <v>-12</v>
      </c>
      <c r="AV4" s="5">
        <f t="shared" si="4"/>
        <v>43.21</v>
      </c>
      <c r="AW4" s="5">
        <f t="shared" si="4"/>
        <v>14944.79</v>
      </c>
    </row>
    <row r="5" spans="1:49">
      <c r="A5" t="s">
        <v>27</v>
      </c>
      <c r="B5">
        <v>65</v>
      </c>
      <c r="C5" s="16">
        <v>36525</v>
      </c>
      <c r="D5" s="1" t="s">
        <v>28</v>
      </c>
      <c r="E5" t="s">
        <v>31</v>
      </c>
      <c r="F5" s="7">
        <v>0</v>
      </c>
      <c r="G5" s="7">
        <v>0</v>
      </c>
      <c r="H5" s="7">
        <v>0</v>
      </c>
      <c r="I5" s="7">
        <v>0</v>
      </c>
      <c r="J5" s="7">
        <v>0</v>
      </c>
      <c r="K5" s="7">
        <v>15</v>
      </c>
      <c r="L5" s="7">
        <v>0</v>
      </c>
      <c r="M5" s="7">
        <v>0</v>
      </c>
      <c r="N5" s="7">
        <v>15</v>
      </c>
      <c r="O5" s="7">
        <v>0</v>
      </c>
      <c r="P5" s="7">
        <v>1</v>
      </c>
      <c r="Q5" s="7">
        <v>0</v>
      </c>
      <c r="R5" s="7">
        <v>0</v>
      </c>
      <c r="S5" s="7">
        <v>0</v>
      </c>
      <c r="T5" s="7">
        <v>0</v>
      </c>
      <c r="U5" s="7">
        <v>0</v>
      </c>
      <c r="V5" s="7">
        <v>0</v>
      </c>
      <c r="W5" s="7">
        <v>0</v>
      </c>
      <c r="X5" s="7">
        <v>15</v>
      </c>
      <c r="Y5" s="7">
        <v>15</v>
      </c>
      <c r="Z5" s="7">
        <v>-28.21</v>
      </c>
      <c r="AD5" s="5">
        <f t="shared" si="5"/>
        <v>0</v>
      </c>
      <c r="AE5" s="5">
        <f t="shared" si="6"/>
        <v>0</v>
      </c>
      <c r="AF5" s="5">
        <f t="shared" si="7"/>
        <v>0</v>
      </c>
      <c r="AG5" s="5">
        <f t="shared" si="8"/>
        <v>0</v>
      </c>
      <c r="AH5" s="5">
        <f t="shared" si="1"/>
        <v>0</v>
      </c>
      <c r="AI5" s="5">
        <f t="shared" si="9"/>
        <v>0</v>
      </c>
      <c r="AJ5" s="5">
        <f t="shared" si="10"/>
        <v>0</v>
      </c>
      <c r="AK5" s="6">
        <f t="shared" si="2"/>
        <v>0</v>
      </c>
      <c r="AL5" s="5">
        <f t="shared" si="3"/>
        <v>0</v>
      </c>
      <c r="AM5" s="5">
        <f>SUMIF(A$2:A5,A5,AL$2:AL5)</f>
        <v>14944.79</v>
      </c>
      <c r="AN5" s="5"/>
      <c r="AO5" s="5">
        <f t="shared" si="11"/>
        <v>0</v>
      </c>
      <c r="AP5" s="5">
        <f t="shared" si="4"/>
        <v>0</v>
      </c>
      <c r="AQ5" s="5">
        <f t="shared" si="4"/>
        <v>0</v>
      </c>
      <c r="AR5" s="5">
        <f t="shared" si="4"/>
        <v>0</v>
      </c>
      <c r="AS5" s="5">
        <f t="shared" si="4"/>
        <v>0</v>
      </c>
      <c r="AT5" s="5">
        <f t="shared" si="4"/>
        <v>-15</v>
      </c>
      <c r="AU5" s="5">
        <f t="shared" si="4"/>
        <v>-15</v>
      </c>
      <c r="AV5" s="5">
        <f t="shared" si="4"/>
        <v>28.21</v>
      </c>
      <c r="AW5" s="5">
        <f t="shared" si="4"/>
        <v>14944.79</v>
      </c>
    </row>
    <row r="6" spans="1:49">
      <c r="A6" t="s">
        <v>27</v>
      </c>
      <c r="B6">
        <v>67</v>
      </c>
      <c r="C6" s="16">
        <v>36891</v>
      </c>
      <c r="D6" s="1" t="s">
        <v>28</v>
      </c>
      <c r="E6" t="s">
        <v>31</v>
      </c>
      <c r="F6" s="7">
        <v>0</v>
      </c>
      <c r="G6" s="7">
        <v>0</v>
      </c>
      <c r="H6" s="7">
        <v>0</v>
      </c>
      <c r="I6" s="7">
        <v>0</v>
      </c>
      <c r="J6" s="7">
        <v>0</v>
      </c>
      <c r="K6" s="7">
        <v>15</v>
      </c>
      <c r="L6" s="7">
        <v>0</v>
      </c>
      <c r="M6" s="7">
        <v>0</v>
      </c>
      <c r="N6" s="7">
        <v>15</v>
      </c>
      <c r="O6" s="7">
        <v>0</v>
      </c>
      <c r="P6" s="7">
        <v>1</v>
      </c>
      <c r="Q6" s="7">
        <v>0</v>
      </c>
      <c r="R6" s="7">
        <v>0</v>
      </c>
      <c r="S6" s="7">
        <v>0</v>
      </c>
      <c r="T6" s="7">
        <v>0</v>
      </c>
      <c r="U6" s="7">
        <v>0</v>
      </c>
      <c r="V6" s="7">
        <v>0</v>
      </c>
      <c r="W6" s="7">
        <v>0</v>
      </c>
      <c r="X6" s="7">
        <v>15</v>
      </c>
      <c r="Y6" s="7">
        <v>15</v>
      </c>
      <c r="Z6" s="7">
        <v>-13.21</v>
      </c>
      <c r="AD6" s="5">
        <f t="shared" si="5"/>
        <v>0</v>
      </c>
      <c r="AE6" s="5">
        <f t="shared" si="6"/>
        <v>0</v>
      </c>
      <c r="AF6" s="5">
        <f t="shared" si="7"/>
        <v>0</v>
      </c>
      <c r="AG6" s="5">
        <f t="shared" si="8"/>
        <v>0</v>
      </c>
      <c r="AH6" s="5">
        <f t="shared" si="1"/>
        <v>0</v>
      </c>
      <c r="AI6" s="5">
        <f t="shared" si="9"/>
        <v>0</v>
      </c>
      <c r="AJ6" s="5">
        <f t="shared" si="10"/>
        <v>0</v>
      </c>
      <c r="AK6" s="6">
        <f t="shared" si="2"/>
        <v>0</v>
      </c>
      <c r="AL6" s="5">
        <f t="shared" si="3"/>
        <v>0</v>
      </c>
      <c r="AM6" s="5">
        <f>SUMIF(A$2:A6,A6,AL$2:AL6)</f>
        <v>14944.79</v>
      </c>
      <c r="AN6" s="5"/>
      <c r="AO6" s="5">
        <f t="shared" si="11"/>
        <v>0</v>
      </c>
      <c r="AP6" s="5">
        <f t="shared" si="4"/>
        <v>0</v>
      </c>
      <c r="AQ6" s="5">
        <f t="shared" si="4"/>
        <v>0</v>
      </c>
      <c r="AR6" s="5">
        <f t="shared" si="4"/>
        <v>0</v>
      </c>
      <c r="AS6" s="5">
        <f t="shared" si="4"/>
        <v>0</v>
      </c>
      <c r="AT6" s="5">
        <f t="shared" si="4"/>
        <v>-15</v>
      </c>
      <c r="AU6" s="5">
        <f t="shared" si="4"/>
        <v>-15</v>
      </c>
      <c r="AV6" s="5">
        <f t="shared" si="4"/>
        <v>13.21</v>
      </c>
      <c r="AW6" s="5">
        <f t="shared" si="4"/>
        <v>14944.79</v>
      </c>
    </row>
    <row r="7" spans="1:49">
      <c r="A7" t="s">
        <v>27</v>
      </c>
      <c r="B7">
        <v>69</v>
      </c>
      <c r="C7" s="16">
        <v>37256</v>
      </c>
      <c r="D7" s="1" t="s">
        <v>28</v>
      </c>
      <c r="E7" t="s">
        <v>31</v>
      </c>
      <c r="F7" s="7">
        <v>0</v>
      </c>
      <c r="G7" s="7">
        <v>0</v>
      </c>
      <c r="H7" s="7">
        <v>0</v>
      </c>
      <c r="I7" s="7">
        <v>0</v>
      </c>
      <c r="J7" s="7">
        <v>0</v>
      </c>
      <c r="K7" s="7">
        <v>18</v>
      </c>
      <c r="L7" s="7">
        <v>0</v>
      </c>
      <c r="M7" s="7">
        <v>0</v>
      </c>
      <c r="N7" s="7">
        <v>18</v>
      </c>
      <c r="O7" s="7">
        <v>0</v>
      </c>
      <c r="P7" s="7">
        <v>1</v>
      </c>
      <c r="Q7" s="7">
        <v>0</v>
      </c>
      <c r="R7" s="7">
        <v>0</v>
      </c>
      <c r="S7" s="7">
        <v>0</v>
      </c>
      <c r="T7" s="7">
        <v>0</v>
      </c>
      <c r="U7" s="7">
        <v>0</v>
      </c>
      <c r="V7" s="7">
        <v>0</v>
      </c>
      <c r="W7" s="7">
        <v>0</v>
      </c>
      <c r="X7" s="7">
        <v>18</v>
      </c>
      <c r="Y7" s="7">
        <v>18</v>
      </c>
      <c r="Z7" s="7">
        <v>4.7899999999999903</v>
      </c>
      <c r="AD7" s="5">
        <f t="shared" si="5"/>
        <v>0</v>
      </c>
      <c r="AE7" s="5">
        <f t="shared" si="6"/>
        <v>0</v>
      </c>
      <c r="AF7" s="5">
        <f t="shared" si="7"/>
        <v>0</v>
      </c>
      <c r="AG7" s="5">
        <f t="shared" si="8"/>
        <v>0</v>
      </c>
      <c r="AH7" s="5">
        <f t="shared" si="1"/>
        <v>0</v>
      </c>
      <c r="AI7" s="5">
        <f t="shared" si="9"/>
        <v>0</v>
      </c>
      <c r="AJ7" s="5">
        <f t="shared" si="10"/>
        <v>0</v>
      </c>
      <c r="AK7" s="6">
        <f t="shared" si="2"/>
        <v>0</v>
      </c>
      <c r="AL7" s="5">
        <f t="shared" si="3"/>
        <v>0</v>
      </c>
      <c r="AM7" s="5">
        <f>SUMIF(A$2:A7,A7,AL$2:AL7)</f>
        <v>14944.79</v>
      </c>
      <c r="AN7" s="5"/>
      <c r="AO7" s="5">
        <f t="shared" si="11"/>
        <v>0</v>
      </c>
      <c r="AP7" s="5">
        <f t="shared" si="4"/>
        <v>0</v>
      </c>
      <c r="AQ7" s="5">
        <f t="shared" si="4"/>
        <v>0</v>
      </c>
      <c r="AR7" s="5">
        <f t="shared" si="4"/>
        <v>0</v>
      </c>
      <c r="AS7" s="5">
        <f t="shared" si="4"/>
        <v>0</v>
      </c>
      <c r="AT7" s="5">
        <f t="shared" si="4"/>
        <v>-18</v>
      </c>
      <c r="AU7" s="5">
        <f t="shared" si="4"/>
        <v>-18</v>
      </c>
      <c r="AV7" s="5">
        <f t="shared" si="4"/>
        <v>-4.7899999999999903</v>
      </c>
      <c r="AW7" s="5">
        <f t="shared" si="4"/>
        <v>14944.79</v>
      </c>
    </row>
    <row r="8" spans="1:49">
      <c r="A8" t="s">
        <v>27</v>
      </c>
      <c r="B8">
        <v>71</v>
      </c>
      <c r="C8" s="16">
        <v>37621</v>
      </c>
      <c r="D8" s="1" t="s">
        <v>28</v>
      </c>
      <c r="E8" t="s">
        <v>32</v>
      </c>
      <c r="F8" s="7">
        <v>0</v>
      </c>
      <c r="G8" s="7">
        <v>0</v>
      </c>
      <c r="H8" s="7">
        <v>0</v>
      </c>
      <c r="I8" s="7">
        <v>0</v>
      </c>
      <c r="J8" s="7">
        <v>0</v>
      </c>
      <c r="K8" s="7">
        <v>21</v>
      </c>
      <c r="L8" s="7">
        <v>0</v>
      </c>
      <c r="M8" s="7">
        <v>0</v>
      </c>
      <c r="N8" s="7">
        <v>21</v>
      </c>
      <c r="O8" s="7">
        <v>0</v>
      </c>
      <c r="P8" s="7">
        <v>1</v>
      </c>
      <c r="Q8" s="7">
        <v>0</v>
      </c>
      <c r="R8" s="7">
        <v>0</v>
      </c>
      <c r="S8" s="7">
        <v>0</v>
      </c>
      <c r="T8" s="7">
        <v>0</v>
      </c>
      <c r="U8" s="7">
        <v>0</v>
      </c>
      <c r="V8" s="7">
        <v>0</v>
      </c>
      <c r="W8" s="7">
        <v>0</v>
      </c>
      <c r="X8" s="7">
        <v>21</v>
      </c>
      <c r="Y8" s="7">
        <v>21</v>
      </c>
      <c r="Z8" s="7">
        <v>25.79</v>
      </c>
      <c r="AD8" s="5">
        <f t="shared" si="5"/>
        <v>0</v>
      </c>
      <c r="AE8" s="5">
        <f t="shared" si="6"/>
        <v>0</v>
      </c>
      <c r="AF8" s="5">
        <f t="shared" si="7"/>
        <v>0</v>
      </c>
      <c r="AG8" s="5">
        <f t="shared" si="8"/>
        <v>0</v>
      </c>
      <c r="AH8" s="5">
        <f t="shared" si="1"/>
        <v>0</v>
      </c>
      <c r="AI8" s="5">
        <f t="shared" si="9"/>
        <v>0</v>
      </c>
      <c r="AJ8" s="5">
        <f t="shared" si="10"/>
        <v>0</v>
      </c>
      <c r="AK8" s="6">
        <f t="shared" si="2"/>
        <v>0</v>
      </c>
      <c r="AL8" s="5">
        <f t="shared" si="3"/>
        <v>0</v>
      </c>
      <c r="AM8" s="5">
        <f>SUMIF(A$2:A8,A8,AL$2:AL8)</f>
        <v>14944.79</v>
      </c>
      <c r="AN8" s="5"/>
      <c r="AO8" s="5">
        <f t="shared" si="11"/>
        <v>0</v>
      </c>
      <c r="AP8" s="5">
        <f t="shared" si="4"/>
        <v>0</v>
      </c>
      <c r="AQ8" s="5">
        <f t="shared" si="4"/>
        <v>0</v>
      </c>
      <c r="AR8" s="5">
        <f t="shared" si="4"/>
        <v>0</v>
      </c>
      <c r="AS8" s="5">
        <f t="shared" si="4"/>
        <v>0</v>
      </c>
      <c r="AT8" s="5">
        <f t="shared" si="4"/>
        <v>-21</v>
      </c>
      <c r="AU8" s="5">
        <f t="shared" si="4"/>
        <v>-21</v>
      </c>
      <c r="AV8" s="5">
        <f t="shared" si="4"/>
        <v>-25.79</v>
      </c>
      <c r="AW8" s="5">
        <f t="shared" si="4"/>
        <v>14944.79</v>
      </c>
    </row>
    <row r="9" spans="1:49">
      <c r="A9" t="s">
        <v>27</v>
      </c>
      <c r="B9">
        <v>73</v>
      </c>
      <c r="C9" s="16">
        <v>37986</v>
      </c>
      <c r="D9" s="1" t="s">
        <v>28</v>
      </c>
      <c r="E9" t="s">
        <v>32</v>
      </c>
      <c r="F9" s="7">
        <v>0</v>
      </c>
      <c r="G9" s="7">
        <v>0</v>
      </c>
      <c r="H9" s="7">
        <v>0</v>
      </c>
      <c r="I9" s="7">
        <v>0</v>
      </c>
      <c r="J9" s="7">
        <v>0</v>
      </c>
      <c r="K9" s="7">
        <v>12</v>
      </c>
      <c r="L9" s="7">
        <v>0</v>
      </c>
      <c r="M9" s="7">
        <v>0</v>
      </c>
      <c r="N9" s="7">
        <v>12</v>
      </c>
      <c r="O9" s="7">
        <v>0</v>
      </c>
      <c r="P9" s="7">
        <v>1</v>
      </c>
      <c r="Q9" s="7">
        <v>0</v>
      </c>
      <c r="R9" s="7">
        <v>0</v>
      </c>
      <c r="S9" s="7">
        <v>0</v>
      </c>
      <c r="T9" s="7">
        <v>0</v>
      </c>
      <c r="U9" s="7">
        <v>0</v>
      </c>
      <c r="V9" s="7">
        <v>0</v>
      </c>
      <c r="W9" s="7">
        <v>0</v>
      </c>
      <c r="X9" s="7">
        <v>12</v>
      </c>
      <c r="Y9" s="7">
        <v>12</v>
      </c>
      <c r="Z9" s="7">
        <v>37.79</v>
      </c>
      <c r="AD9" s="5">
        <f t="shared" si="5"/>
        <v>0</v>
      </c>
      <c r="AE9" s="5">
        <f t="shared" si="6"/>
        <v>0</v>
      </c>
      <c r="AF9" s="5">
        <f t="shared" si="7"/>
        <v>0</v>
      </c>
      <c r="AG9" s="5">
        <f t="shared" si="8"/>
        <v>0</v>
      </c>
      <c r="AH9" s="5">
        <f t="shared" si="1"/>
        <v>0</v>
      </c>
      <c r="AI9" s="5">
        <f t="shared" si="9"/>
        <v>0</v>
      </c>
      <c r="AJ9" s="5">
        <f t="shared" si="10"/>
        <v>0</v>
      </c>
      <c r="AK9" s="6">
        <f t="shared" si="2"/>
        <v>0</v>
      </c>
      <c r="AL9" s="5">
        <f t="shared" si="3"/>
        <v>0</v>
      </c>
      <c r="AM9" s="5">
        <f>SUMIF(A$2:A9,A9,AL$2:AL9)</f>
        <v>14944.79</v>
      </c>
      <c r="AN9" s="5"/>
      <c r="AO9" s="5">
        <f t="shared" si="11"/>
        <v>0</v>
      </c>
      <c r="AP9" s="5">
        <f t="shared" si="4"/>
        <v>0</v>
      </c>
      <c r="AQ9" s="5">
        <f t="shared" si="4"/>
        <v>0</v>
      </c>
      <c r="AR9" s="5">
        <f t="shared" si="4"/>
        <v>0</v>
      </c>
      <c r="AS9" s="5">
        <f t="shared" si="4"/>
        <v>0</v>
      </c>
      <c r="AT9" s="5">
        <f t="shared" si="4"/>
        <v>-12</v>
      </c>
      <c r="AU9" s="5">
        <f t="shared" si="4"/>
        <v>-12</v>
      </c>
      <c r="AV9" s="5">
        <f t="shared" si="4"/>
        <v>-37.79</v>
      </c>
      <c r="AW9" s="5">
        <f t="shared" si="4"/>
        <v>14944.79</v>
      </c>
    </row>
    <row r="10" spans="1:49">
      <c r="A10" t="s">
        <v>27</v>
      </c>
      <c r="B10">
        <v>75</v>
      </c>
      <c r="C10" s="16">
        <v>38352</v>
      </c>
      <c r="D10" s="1" t="s">
        <v>28</v>
      </c>
      <c r="E10" t="s">
        <v>31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21.18</v>
      </c>
      <c r="L10" s="7">
        <v>0</v>
      </c>
      <c r="M10" s="7">
        <v>0</v>
      </c>
      <c r="N10" s="7">
        <v>21.18</v>
      </c>
      <c r="O10" s="7">
        <v>0</v>
      </c>
      <c r="P10" s="7">
        <v>1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21.18</v>
      </c>
      <c r="Y10" s="7">
        <v>21.18</v>
      </c>
      <c r="Z10" s="7">
        <v>58.97</v>
      </c>
      <c r="AD10" s="5">
        <f t="shared" si="5"/>
        <v>0</v>
      </c>
      <c r="AE10" s="5">
        <f t="shared" si="6"/>
        <v>0</v>
      </c>
      <c r="AF10" s="5">
        <f t="shared" si="7"/>
        <v>0</v>
      </c>
      <c r="AG10" s="5">
        <f t="shared" si="8"/>
        <v>0</v>
      </c>
      <c r="AH10" s="5">
        <f t="shared" si="1"/>
        <v>0</v>
      </c>
      <c r="AI10" s="5">
        <f t="shared" si="9"/>
        <v>0</v>
      </c>
      <c r="AJ10" s="5">
        <f t="shared" si="10"/>
        <v>0</v>
      </c>
      <c r="AK10" s="6">
        <f t="shared" si="2"/>
        <v>0</v>
      </c>
      <c r="AL10" s="5">
        <f t="shared" si="3"/>
        <v>0</v>
      </c>
      <c r="AM10" s="5">
        <f>SUMIF(A$2:A10,A10,AL$2:AL10)</f>
        <v>14944.79</v>
      </c>
      <c r="AN10" s="5"/>
      <c r="AO10" s="5">
        <f t="shared" si="11"/>
        <v>0</v>
      </c>
      <c r="AP10" s="5">
        <f t="shared" si="4"/>
        <v>0</v>
      </c>
      <c r="AQ10" s="5">
        <f t="shared" si="4"/>
        <v>0</v>
      </c>
      <c r="AR10" s="5">
        <f t="shared" si="4"/>
        <v>0</v>
      </c>
      <c r="AS10" s="5">
        <f t="shared" si="4"/>
        <v>0</v>
      </c>
      <c r="AT10" s="5">
        <f t="shared" si="4"/>
        <v>-21.18</v>
      </c>
      <c r="AU10" s="5">
        <f t="shared" si="4"/>
        <v>-21.18</v>
      </c>
      <c r="AV10" s="5">
        <f t="shared" si="4"/>
        <v>-58.97</v>
      </c>
      <c r="AW10" s="5">
        <f t="shared" si="4"/>
        <v>14944.79</v>
      </c>
    </row>
    <row r="11" spans="1:49">
      <c r="A11" t="s">
        <v>27</v>
      </c>
      <c r="B11">
        <v>77</v>
      </c>
      <c r="C11" s="16">
        <v>38717</v>
      </c>
      <c r="D11" s="1" t="s">
        <v>28</v>
      </c>
      <c r="E11" t="s">
        <v>31</v>
      </c>
      <c r="F11" s="7">
        <v>0</v>
      </c>
      <c r="G11" s="7">
        <v>0</v>
      </c>
      <c r="H11" s="7">
        <v>0</v>
      </c>
      <c r="I11" s="7">
        <v>0</v>
      </c>
      <c r="J11" s="7">
        <v>0</v>
      </c>
      <c r="K11" s="7">
        <v>32.159999999999997</v>
      </c>
      <c r="L11" s="7">
        <v>0</v>
      </c>
      <c r="M11" s="7">
        <v>0</v>
      </c>
      <c r="N11" s="7">
        <v>32.159999999999997</v>
      </c>
      <c r="O11" s="7">
        <v>0</v>
      </c>
      <c r="P11" s="7">
        <v>1</v>
      </c>
      <c r="Q11" s="7">
        <v>0</v>
      </c>
      <c r="R11" s="7">
        <v>0</v>
      </c>
      <c r="S11" s="7">
        <v>0</v>
      </c>
      <c r="T11" s="7">
        <v>0</v>
      </c>
      <c r="U11" s="7">
        <v>0</v>
      </c>
      <c r="V11" s="7">
        <v>0</v>
      </c>
      <c r="W11" s="7">
        <v>0</v>
      </c>
      <c r="X11" s="7">
        <v>32.159999999999997</v>
      </c>
      <c r="Y11" s="7">
        <v>32.159999999999997</v>
      </c>
      <c r="Z11" s="7">
        <v>91.13</v>
      </c>
      <c r="AD11" s="5">
        <f t="shared" si="5"/>
        <v>0</v>
      </c>
      <c r="AE11" s="5">
        <f t="shared" si="6"/>
        <v>0</v>
      </c>
      <c r="AF11" s="5">
        <f t="shared" si="7"/>
        <v>0</v>
      </c>
      <c r="AG11" s="5">
        <f t="shared" si="8"/>
        <v>0</v>
      </c>
      <c r="AH11" s="5">
        <f t="shared" si="1"/>
        <v>0</v>
      </c>
      <c r="AI11" s="5">
        <f t="shared" si="9"/>
        <v>0</v>
      </c>
      <c r="AJ11" s="5">
        <f t="shared" si="10"/>
        <v>0</v>
      </c>
      <c r="AK11" s="6">
        <f t="shared" si="2"/>
        <v>0</v>
      </c>
      <c r="AL11" s="5">
        <f t="shared" si="3"/>
        <v>0</v>
      </c>
      <c r="AM11" s="5">
        <f>SUMIF(A$2:A11,A11,AL$2:AL11)</f>
        <v>14944.79</v>
      </c>
      <c r="AN11" s="5"/>
      <c r="AO11" s="5">
        <f t="shared" si="11"/>
        <v>0</v>
      </c>
      <c r="AP11" s="5">
        <f t="shared" si="4"/>
        <v>0</v>
      </c>
      <c r="AQ11" s="5">
        <f t="shared" si="4"/>
        <v>0</v>
      </c>
      <c r="AR11" s="5">
        <f t="shared" si="4"/>
        <v>0</v>
      </c>
      <c r="AS11" s="5">
        <f t="shared" si="4"/>
        <v>0</v>
      </c>
      <c r="AT11" s="5">
        <f t="shared" si="4"/>
        <v>-32.159999999999997</v>
      </c>
      <c r="AU11" s="5">
        <f t="shared" si="4"/>
        <v>-32.159999999999997</v>
      </c>
      <c r="AV11" s="5">
        <f t="shared" si="4"/>
        <v>-91.13</v>
      </c>
      <c r="AW11" s="5">
        <f t="shared" si="4"/>
        <v>14944.79</v>
      </c>
    </row>
    <row r="12" spans="1:49">
      <c r="A12" t="s">
        <v>27</v>
      </c>
      <c r="B12">
        <v>79</v>
      </c>
      <c r="C12" s="16">
        <v>39082</v>
      </c>
      <c r="D12" s="1" t="s">
        <v>28</v>
      </c>
      <c r="E12" t="s">
        <v>31</v>
      </c>
      <c r="F12" s="7">
        <v>0</v>
      </c>
      <c r="G12" s="7">
        <v>0</v>
      </c>
      <c r="H12" s="7">
        <v>0</v>
      </c>
      <c r="I12" s="7">
        <v>0</v>
      </c>
      <c r="J12" s="7">
        <v>0</v>
      </c>
      <c r="K12" s="7">
        <v>31.15</v>
      </c>
      <c r="L12" s="7">
        <v>0</v>
      </c>
      <c r="M12" s="7">
        <v>0</v>
      </c>
      <c r="N12" s="7">
        <v>31.15</v>
      </c>
      <c r="O12" s="7">
        <v>0</v>
      </c>
      <c r="P12" s="7">
        <v>1</v>
      </c>
      <c r="Q12" s="7">
        <v>0</v>
      </c>
      <c r="R12" s="7">
        <v>0</v>
      </c>
      <c r="S12" s="7">
        <v>0</v>
      </c>
      <c r="T12" s="7">
        <v>0</v>
      </c>
      <c r="U12" s="7">
        <v>0</v>
      </c>
      <c r="V12" s="7">
        <v>0</v>
      </c>
      <c r="W12" s="7">
        <v>0</v>
      </c>
      <c r="X12" s="7">
        <v>31.15</v>
      </c>
      <c r="Y12" s="7">
        <v>31.15</v>
      </c>
      <c r="Z12" s="7">
        <v>122.28</v>
      </c>
      <c r="AD12" s="5">
        <f t="shared" si="5"/>
        <v>0</v>
      </c>
      <c r="AE12" s="5">
        <f t="shared" si="6"/>
        <v>0</v>
      </c>
      <c r="AF12" s="5">
        <f t="shared" si="7"/>
        <v>0</v>
      </c>
      <c r="AG12" s="5">
        <f t="shared" si="8"/>
        <v>0</v>
      </c>
      <c r="AH12" s="5">
        <f t="shared" si="1"/>
        <v>0</v>
      </c>
      <c r="AI12" s="5">
        <f t="shared" si="9"/>
        <v>0</v>
      </c>
      <c r="AJ12" s="5">
        <f t="shared" si="10"/>
        <v>0</v>
      </c>
      <c r="AK12" s="6">
        <f t="shared" si="2"/>
        <v>0</v>
      </c>
      <c r="AL12" s="5">
        <f t="shared" si="3"/>
        <v>0</v>
      </c>
      <c r="AM12" s="5">
        <f>SUMIF(A$2:A12,A12,AL$2:AL12)</f>
        <v>14944.79</v>
      </c>
      <c r="AN12" s="5"/>
      <c r="AO12" s="5">
        <f t="shared" si="11"/>
        <v>0</v>
      </c>
      <c r="AP12" s="5">
        <f t="shared" si="4"/>
        <v>0</v>
      </c>
      <c r="AQ12" s="5">
        <f t="shared" si="4"/>
        <v>0</v>
      </c>
      <c r="AR12" s="5">
        <f t="shared" si="4"/>
        <v>0</v>
      </c>
      <c r="AS12" s="5">
        <f t="shared" si="4"/>
        <v>0</v>
      </c>
      <c r="AT12" s="5">
        <f t="shared" si="4"/>
        <v>-31.15</v>
      </c>
      <c r="AU12" s="5">
        <f t="shared" si="4"/>
        <v>-31.15</v>
      </c>
      <c r="AV12" s="5">
        <f t="shared" si="4"/>
        <v>-122.28</v>
      </c>
      <c r="AW12" s="5">
        <f t="shared" si="4"/>
        <v>14944.79</v>
      </c>
    </row>
    <row r="13" spans="1:49">
      <c r="A13" t="s">
        <v>27</v>
      </c>
      <c r="B13">
        <v>107</v>
      </c>
      <c r="C13" s="16">
        <v>39399</v>
      </c>
      <c r="D13" s="1" t="s">
        <v>28</v>
      </c>
      <c r="E13" t="s">
        <v>33</v>
      </c>
      <c r="F13" s="7">
        <v>0</v>
      </c>
      <c r="G13" s="7">
        <v>0</v>
      </c>
      <c r="H13" s="7">
        <v>0</v>
      </c>
      <c r="I13" s="7">
        <v>0</v>
      </c>
      <c r="J13" s="7">
        <v>0</v>
      </c>
      <c r="K13" s="7">
        <v>0</v>
      </c>
      <c r="L13" s="7">
        <v>0</v>
      </c>
      <c r="M13" s="7">
        <v>-721.24</v>
      </c>
      <c r="N13" s="7">
        <v>-721.24</v>
      </c>
      <c r="O13" s="7">
        <v>0</v>
      </c>
      <c r="P13" s="7">
        <v>1</v>
      </c>
      <c r="Q13" s="7">
        <v>0</v>
      </c>
      <c r="R13" s="7">
        <v>0</v>
      </c>
      <c r="S13" s="7">
        <v>0</v>
      </c>
      <c r="T13" s="7">
        <v>0</v>
      </c>
      <c r="U13" s="7">
        <v>0</v>
      </c>
      <c r="V13" s="7">
        <v>0</v>
      </c>
      <c r="W13" s="7">
        <v>0</v>
      </c>
      <c r="X13" s="7">
        <v>0</v>
      </c>
      <c r="Y13" s="7">
        <v>0</v>
      </c>
      <c r="Z13" s="7">
        <v>122.28</v>
      </c>
      <c r="AD13" s="5">
        <f t="shared" si="5"/>
        <v>0</v>
      </c>
      <c r="AE13" s="5">
        <f t="shared" si="6"/>
        <v>0</v>
      </c>
      <c r="AF13" s="5">
        <f t="shared" si="7"/>
        <v>0</v>
      </c>
      <c r="AG13" s="5">
        <f t="shared" si="8"/>
        <v>0</v>
      </c>
      <c r="AH13" s="5">
        <f t="shared" si="1"/>
        <v>0</v>
      </c>
      <c r="AI13" s="5">
        <f t="shared" si="9"/>
        <v>0</v>
      </c>
      <c r="AJ13" s="5">
        <f t="shared" si="10"/>
        <v>0</v>
      </c>
      <c r="AK13" s="6">
        <f t="shared" si="2"/>
        <v>-721.24</v>
      </c>
      <c r="AL13" s="5">
        <f t="shared" si="3"/>
        <v>-721.24</v>
      </c>
      <c r="AM13" s="5">
        <f>SUMIF(A$2:A13,A13,AL$2:AL13)</f>
        <v>14223.550000000001</v>
      </c>
      <c r="AN13" s="5"/>
      <c r="AO13" s="5">
        <f t="shared" si="11"/>
        <v>0</v>
      </c>
      <c r="AP13" s="5">
        <f t="shared" si="4"/>
        <v>0</v>
      </c>
      <c r="AQ13" s="5">
        <f t="shared" si="4"/>
        <v>0</v>
      </c>
      <c r="AR13" s="5">
        <f t="shared" si="4"/>
        <v>0</v>
      </c>
      <c r="AS13" s="5">
        <f t="shared" si="4"/>
        <v>0</v>
      </c>
      <c r="AT13" s="5">
        <f t="shared" si="4"/>
        <v>0</v>
      </c>
      <c r="AU13" s="5">
        <f t="shared" si="4"/>
        <v>-721.24</v>
      </c>
      <c r="AV13" s="5">
        <f t="shared" si="4"/>
        <v>-843.52</v>
      </c>
      <c r="AW13" s="5">
        <f t="shared" si="4"/>
        <v>14223.550000000001</v>
      </c>
    </row>
    <row r="14" spans="1:49">
      <c r="A14" t="s">
        <v>27</v>
      </c>
      <c r="B14">
        <v>110</v>
      </c>
      <c r="C14" s="16">
        <v>39407</v>
      </c>
      <c r="D14" s="1" t="s">
        <v>28</v>
      </c>
      <c r="E14" t="s">
        <v>34</v>
      </c>
      <c r="F14" s="7">
        <v>0</v>
      </c>
      <c r="G14" s="7">
        <v>0</v>
      </c>
      <c r="H14" s="7">
        <v>0</v>
      </c>
      <c r="I14" s="7">
        <v>0</v>
      </c>
      <c r="J14" s="7">
        <v>0</v>
      </c>
      <c r="K14" s="7">
        <v>0</v>
      </c>
      <c r="L14" s="7">
        <v>0</v>
      </c>
      <c r="M14" s="7">
        <v>-212.26</v>
      </c>
      <c r="N14" s="7">
        <v>-212.26</v>
      </c>
      <c r="O14" s="7">
        <v>0</v>
      </c>
      <c r="P14" s="7">
        <v>1</v>
      </c>
      <c r="Q14" s="7">
        <v>0</v>
      </c>
      <c r="R14" s="7">
        <v>0</v>
      </c>
      <c r="S14" s="7">
        <v>0</v>
      </c>
      <c r="T14" s="7">
        <v>0</v>
      </c>
      <c r="U14" s="7">
        <v>0</v>
      </c>
      <c r="V14" s="7">
        <v>0</v>
      </c>
      <c r="W14" s="7">
        <v>0</v>
      </c>
      <c r="X14" s="7">
        <v>0</v>
      </c>
      <c r="Y14" s="7">
        <v>0</v>
      </c>
      <c r="Z14" s="7">
        <v>122.28</v>
      </c>
      <c r="AD14" s="5">
        <f t="shared" si="5"/>
        <v>0</v>
      </c>
      <c r="AE14" s="5">
        <f t="shared" si="6"/>
        <v>0</v>
      </c>
      <c r="AF14" s="5">
        <f t="shared" si="7"/>
        <v>0</v>
      </c>
      <c r="AG14" s="5">
        <f t="shared" si="8"/>
        <v>0</v>
      </c>
      <c r="AH14" s="5">
        <f t="shared" si="1"/>
        <v>0</v>
      </c>
      <c r="AI14" s="5">
        <f t="shared" si="9"/>
        <v>0</v>
      </c>
      <c r="AJ14" s="5">
        <f t="shared" si="10"/>
        <v>0</v>
      </c>
      <c r="AK14" s="6">
        <f t="shared" si="2"/>
        <v>-212.26</v>
      </c>
      <c r="AL14" s="5">
        <f t="shared" si="3"/>
        <v>-212.26</v>
      </c>
      <c r="AM14" s="5">
        <f>SUMIF(A$2:A14,A14,AL$2:AL14)</f>
        <v>14011.29</v>
      </c>
      <c r="AN14" s="5"/>
      <c r="AO14" s="5">
        <f t="shared" si="11"/>
        <v>0</v>
      </c>
      <c r="AP14" s="5">
        <f t="shared" si="4"/>
        <v>0</v>
      </c>
      <c r="AQ14" s="5">
        <f t="shared" si="4"/>
        <v>0</v>
      </c>
      <c r="AR14" s="5">
        <f t="shared" si="4"/>
        <v>0</v>
      </c>
      <c r="AS14" s="5">
        <f t="shared" si="4"/>
        <v>0</v>
      </c>
      <c r="AT14" s="5">
        <f t="shared" si="4"/>
        <v>0</v>
      </c>
      <c r="AU14" s="5">
        <f t="shared" si="4"/>
        <v>-212.26</v>
      </c>
      <c r="AV14" s="5">
        <f t="shared" si="4"/>
        <v>-334.53999999999996</v>
      </c>
      <c r="AW14" s="5">
        <f t="shared" si="4"/>
        <v>14011.29</v>
      </c>
    </row>
    <row r="15" spans="1:49">
      <c r="A15" t="s">
        <v>27</v>
      </c>
      <c r="B15">
        <v>81</v>
      </c>
      <c r="C15" s="16">
        <v>39447</v>
      </c>
      <c r="D15" s="1" t="s">
        <v>28</v>
      </c>
      <c r="E15" t="s">
        <v>31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21.89</v>
      </c>
      <c r="L15" s="7">
        <v>0</v>
      </c>
      <c r="M15" s="7">
        <v>0</v>
      </c>
      <c r="N15" s="7">
        <v>21.89</v>
      </c>
      <c r="O15" s="7">
        <v>0</v>
      </c>
      <c r="P15" s="7">
        <v>1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21.89</v>
      </c>
      <c r="Y15" s="7">
        <v>21.89</v>
      </c>
      <c r="Z15" s="7">
        <v>144.16999999999999</v>
      </c>
      <c r="AD15" s="5">
        <f t="shared" si="5"/>
        <v>0</v>
      </c>
      <c r="AE15" s="5">
        <f t="shared" si="6"/>
        <v>0</v>
      </c>
      <c r="AF15" s="5">
        <f t="shared" si="7"/>
        <v>0</v>
      </c>
      <c r="AG15" s="5">
        <f t="shared" si="8"/>
        <v>0</v>
      </c>
      <c r="AH15" s="5">
        <f t="shared" si="1"/>
        <v>0</v>
      </c>
      <c r="AI15" s="5">
        <f t="shared" si="9"/>
        <v>0</v>
      </c>
      <c r="AJ15" s="5">
        <f t="shared" si="10"/>
        <v>0</v>
      </c>
      <c r="AK15" s="6">
        <f t="shared" si="2"/>
        <v>0</v>
      </c>
      <c r="AL15" s="5">
        <f t="shared" si="3"/>
        <v>0</v>
      </c>
      <c r="AM15" s="5">
        <f>SUMIF(A$2:A15,A15,AL$2:AL15)</f>
        <v>14011.29</v>
      </c>
      <c r="AN15" s="5"/>
      <c r="AO15" s="5">
        <f t="shared" si="11"/>
        <v>0</v>
      </c>
      <c r="AP15" s="5">
        <f t="shared" si="4"/>
        <v>0</v>
      </c>
      <c r="AQ15" s="5">
        <f t="shared" si="4"/>
        <v>0</v>
      </c>
      <c r="AR15" s="5">
        <f t="shared" si="4"/>
        <v>0</v>
      </c>
      <c r="AS15" s="5">
        <f t="shared" si="4"/>
        <v>0</v>
      </c>
      <c r="AT15" s="5">
        <f t="shared" si="4"/>
        <v>-21.89</v>
      </c>
      <c r="AU15" s="5">
        <f t="shared" si="4"/>
        <v>-21.89</v>
      </c>
      <c r="AV15" s="5">
        <f t="shared" si="4"/>
        <v>-144.16999999999999</v>
      </c>
      <c r="AW15" s="5">
        <f t="shared" si="4"/>
        <v>14011.29</v>
      </c>
    </row>
    <row r="16" spans="1:49">
      <c r="A16" t="s">
        <v>27</v>
      </c>
      <c r="B16">
        <v>83</v>
      </c>
      <c r="C16" s="16">
        <v>39813</v>
      </c>
      <c r="D16" s="1" t="s">
        <v>28</v>
      </c>
      <c r="E16" t="s">
        <v>31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22.15</v>
      </c>
      <c r="L16" s="7">
        <v>0</v>
      </c>
      <c r="M16" s="7">
        <v>0</v>
      </c>
      <c r="N16" s="7">
        <v>22.15</v>
      </c>
      <c r="O16" s="7">
        <v>0</v>
      </c>
      <c r="P16" s="7">
        <v>1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22.15</v>
      </c>
      <c r="Y16" s="7">
        <v>22.15</v>
      </c>
      <c r="Z16" s="7">
        <v>166.32</v>
      </c>
      <c r="AD16" s="5">
        <f t="shared" si="5"/>
        <v>0</v>
      </c>
      <c r="AE16" s="5">
        <f t="shared" si="6"/>
        <v>0</v>
      </c>
      <c r="AF16" s="5">
        <f t="shared" si="7"/>
        <v>0</v>
      </c>
      <c r="AG16" s="5">
        <f t="shared" si="8"/>
        <v>0</v>
      </c>
      <c r="AH16" s="5">
        <f t="shared" si="1"/>
        <v>0</v>
      </c>
      <c r="AI16" s="5">
        <f t="shared" si="9"/>
        <v>0</v>
      </c>
      <c r="AJ16" s="5">
        <f t="shared" si="10"/>
        <v>0</v>
      </c>
      <c r="AK16" s="6">
        <f t="shared" si="2"/>
        <v>0</v>
      </c>
      <c r="AL16" s="5">
        <f t="shared" si="3"/>
        <v>0</v>
      </c>
      <c r="AM16" s="5">
        <f>SUMIF(A$2:A16,A16,AL$2:AL16)</f>
        <v>14011.29</v>
      </c>
      <c r="AN16" s="5"/>
      <c r="AO16" s="5">
        <f t="shared" si="11"/>
        <v>0</v>
      </c>
      <c r="AP16" s="5">
        <f t="shared" si="4"/>
        <v>0</v>
      </c>
      <c r="AQ16" s="5">
        <f t="shared" si="4"/>
        <v>0</v>
      </c>
      <c r="AR16" s="5">
        <f t="shared" si="4"/>
        <v>0</v>
      </c>
      <c r="AS16" s="5">
        <f t="shared" si="4"/>
        <v>0</v>
      </c>
      <c r="AT16" s="5">
        <f t="shared" si="4"/>
        <v>-22.15</v>
      </c>
      <c r="AU16" s="5">
        <f t="shared" si="4"/>
        <v>-22.15</v>
      </c>
      <c r="AV16" s="5">
        <f t="shared" si="4"/>
        <v>-166.32</v>
      </c>
      <c r="AW16" s="5">
        <f t="shared" si="4"/>
        <v>14011.29</v>
      </c>
    </row>
    <row r="17" spans="1:49">
      <c r="A17" t="s">
        <v>27</v>
      </c>
      <c r="B17">
        <v>85</v>
      </c>
      <c r="C17" s="16">
        <v>39813</v>
      </c>
      <c r="D17" s="1" t="s">
        <v>28</v>
      </c>
      <c r="E17" t="s">
        <v>31</v>
      </c>
      <c r="F17" s="7">
        <v>0</v>
      </c>
      <c r="G17" s="7">
        <v>0</v>
      </c>
      <c r="H17" s="7">
        <v>0</v>
      </c>
      <c r="I17" s="7">
        <v>0</v>
      </c>
      <c r="J17" s="7">
        <v>0</v>
      </c>
      <c r="K17" s="7">
        <v>41.12</v>
      </c>
      <c r="L17" s="7">
        <v>0</v>
      </c>
      <c r="M17" s="7">
        <v>0</v>
      </c>
      <c r="N17" s="7">
        <v>41.12</v>
      </c>
      <c r="O17" s="7">
        <v>0</v>
      </c>
      <c r="P17" s="7">
        <v>1</v>
      </c>
      <c r="Q17" s="7">
        <v>0</v>
      </c>
      <c r="R17" s="7">
        <v>0</v>
      </c>
      <c r="S17" s="7">
        <v>0</v>
      </c>
      <c r="T17" s="7">
        <v>0</v>
      </c>
      <c r="U17" s="7">
        <v>0</v>
      </c>
      <c r="V17" s="7">
        <v>0</v>
      </c>
      <c r="W17" s="7">
        <v>0</v>
      </c>
      <c r="X17" s="7">
        <v>41.12</v>
      </c>
      <c r="Y17" s="7">
        <v>41.12</v>
      </c>
      <c r="Z17" s="7">
        <v>207.44</v>
      </c>
      <c r="AD17" s="5">
        <f t="shared" si="5"/>
        <v>0</v>
      </c>
      <c r="AE17" s="5">
        <f t="shared" si="6"/>
        <v>0</v>
      </c>
      <c r="AF17" s="5">
        <f t="shared" si="7"/>
        <v>0</v>
      </c>
      <c r="AG17" s="5">
        <f t="shared" si="8"/>
        <v>0</v>
      </c>
      <c r="AH17" s="5">
        <f t="shared" si="1"/>
        <v>0</v>
      </c>
      <c r="AI17" s="5">
        <f t="shared" si="9"/>
        <v>0</v>
      </c>
      <c r="AJ17" s="5">
        <f t="shared" si="10"/>
        <v>0</v>
      </c>
      <c r="AK17" s="6">
        <f t="shared" si="2"/>
        <v>0</v>
      </c>
      <c r="AL17" s="5">
        <f t="shared" si="3"/>
        <v>0</v>
      </c>
      <c r="AM17" s="5">
        <f>SUMIF(A$2:A17,A17,AL$2:AL17)</f>
        <v>14011.29</v>
      </c>
      <c r="AN17" s="5"/>
      <c r="AO17" s="5">
        <f t="shared" si="11"/>
        <v>0</v>
      </c>
      <c r="AP17" s="5">
        <f t="shared" si="4"/>
        <v>0</v>
      </c>
      <c r="AQ17" s="5">
        <f t="shared" si="4"/>
        <v>0</v>
      </c>
      <c r="AR17" s="5">
        <f t="shared" si="4"/>
        <v>0</v>
      </c>
      <c r="AS17" s="5">
        <f t="shared" si="4"/>
        <v>0</v>
      </c>
      <c r="AT17" s="5">
        <f t="shared" si="4"/>
        <v>-41.12</v>
      </c>
      <c r="AU17" s="5">
        <f t="shared" si="4"/>
        <v>-41.12</v>
      </c>
      <c r="AV17" s="5">
        <f t="shared" si="4"/>
        <v>-207.44</v>
      </c>
      <c r="AW17" s="5">
        <f t="shared" si="4"/>
        <v>14011.29</v>
      </c>
    </row>
    <row r="18" spans="1:49">
      <c r="A18" t="s">
        <v>27</v>
      </c>
      <c r="B18">
        <v>87</v>
      </c>
      <c r="C18" s="16">
        <v>40178</v>
      </c>
      <c r="D18" s="1" t="s">
        <v>28</v>
      </c>
      <c r="E18" t="s">
        <v>31</v>
      </c>
      <c r="F18" s="7">
        <v>0</v>
      </c>
      <c r="G18" s="7">
        <v>0</v>
      </c>
      <c r="H18" s="7">
        <v>0</v>
      </c>
      <c r="I18" s="7">
        <v>0</v>
      </c>
      <c r="J18" s="7">
        <v>0</v>
      </c>
      <c r="K18" s="7">
        <v>22.12</v>
      </c>
      <c r="L18" s="7">
        <v>0</v>
      </c>
      <c r="M18" s="7">
        <v>0</v>
      </c>
      <c r="N18" s="7">
        <v>22.12</v>
      </c>
      <c r="O18" s="7">
        <v>0</v>
      </c>
      <c r="P18" s="7">
        <v>1</v>
      </c>
      <c r="Q18" s="7">
        <v>0</v>
      </c>
      <c r="R18" s="7">
        <v>0</v>
      </c>
      <c r="S18" s="7">
        <v>0</v>
      </c>
      <c r="T18" s="7">
        <v>0</v>
      </c>
      <c r="U18" s="7">
        <v>0</v>
      </c>
      <c r="V18" s="7">
        <v>0</v>
      </c>
      <c r="W18" s="7">
        <v>0</v>
      </c>
      <c r="X18" s="7">
        <v>22.12</v>
      </c>
      <c r="Y18" s="7">
        <v>22.12</v>
      </c>
      <c r="Z18" s="7">
        <v>229.56</v>
      </c>
      <c r="AD18" s="5">
        <f t="shared" si="5"/>
        <v>0</v>
      </c>
      <c r="AE18" s="5">
        <f t="shared" si="6"/>
        <v>0</v>
      </c>
      <c r="AF18" s="5">
        <f t="shared" si="7"/>
        <v>0</v>
      </c>
      <c r="AG18" s="5">
        <f t="shared" si="8"/>
        <v>0</v>
      </c>
      <c r="AH18" s="5">
        <f t="shared" si="1"/>
        <v>0</v>
      </c>
      <c r="AI18" s="5">
        <f t="shared" si="9"/>
        <v>0</v>
      </c>
      <c r="AJ18" s="5">
        <f t="shared" si="10"/>
        <v>0</v>
      </c>
      <c r="AK18" s="6">
        <f t="shared" si="2"/>
        <v>0</v>
      </c>
      <c r="AL18" s="5">
        <f t="shared" si="3"/>
        <v>0</v>
      </c>
      <c r="AM18" s="5">
        <f>SUMIF(A$2:A18,A18,AL$2:AL18)</f>
        <v>14011.29</v>
      </c>
      <c r="AN18" s="5"/>
      <c r="AO18" s="5">
        <f t="shared" si="11"/>
        <v>0</v>
      </c>
      <c r="AP18" s="5">
        <f t="shared" si="11"/>
        <v>0</v>
      </c>
      <c r="AQ18" s="5">
        <f t="shared" si="11"/>
        <v>0</v>
      </c>
      <c r="AR18" s="5">
        <f t="shared" si="11"/>
        <v>0</v>
      </c>
      <c r="AS18" s="5">
        <f t="shared" si="11"/>
        <v>0</v>
      </c>
      <c r="AT18" s="5">
        <f t="shared" si="11"/>
        <v>-22.12</v>
      </c>
      <c r="AU18" s="5">
        <f t="shared" si="11"/>
        <v>-22.12</v>
      </c>
      <c r="AV18" s="5">
        <f t="shared" si="11"/>
        <v>-229.56</v>
      </c>
      <c r="AW18" s="5">
        <f t="shared" si="11"/>
        <v>14011.29</v>
      </c>
    </row>
    <row r="19" spans="1:49">
      <c r="A19" t="s">
        <v>35</v>
      </c>
      <c r="B19">
        <v>131</v>
      </c>
      <c r="C19" s="16">
        <v>40039</v>
      </c>
      <c r="D19" s="1" t="s">
        <v>28</v>
      </c>
      <c r="E19" t="s">
        <v>36</v>
      </c>
      <c r="F19" s="7">
        <v>0</v>
      </c>
      <c r="G19" s="7">
        <v>0</v>
      </c>
      <c r="H19" s="7">
        <v>0</v>
      </c>
      <c r="I19" s="7">
        <v>0</v>
      </c>
      <c r="J19" s="7">
        <v>0</v>
      </c>
      <c r="K19" s="7">
        <v>0</v>
      </c>
      <c r="L19" s="7">
        <v>0</v>
      </c>
      <c r="M19" s="7">
        <v>10000</v>
      </c>
      <c r="N19" s="7">
        <v>10000</v>
      </c>
      <c r="O19" s="7">
        <v>0</v>
      </c>
      <c r="P19" s="7">
        <v>1</v>
      </c>
      <c r="Q19" s="7">
        <v>0</v>
      </c>
      <c r="R19" s="7">
        <v>0</v>
      </c>
      <c r="S19" s="7">
        <v>0</v>
      </c>
      <c r="T19" s="7">
        <v>0</v>
      </c>
      <c r="U19" s="7">
        <v>0</v>
      </c>
      <c r="V19" s="7">
        <v>0</v>
      </c>
      <c r="W19" s="7">
        <v>0</v>
      </c>
      <c r="X19" s="7">
        <v>0</v>
      </c>
      <c r="Y19" s="7">
        <v>0</v>
      </c>
      <c r="Z19" s="7">
        <v>0</v>
      </c>
      <c r="AD19" s="5">
        <f t="shared" si="5"/>
        <v>0</v>
      </c>
      <c r="AE19" s="5">
        <f t="shared" si="6"/>
        <v>0</v>
      </c>
      <c r="AF19" s="5">
        <f t="shared" si="7"/>
        <v>0</v>
      </c>
      <c r="AG19" s="5">
        <f t="shared" si="8"/>
        <v>0</v>
      </c>
      <c r="AH19" s="5">
        <f t="shared" si="1"/>
        <v>0</v>
      </c>
      <c r="AI19" s="5">
        <f t="shared" si="9"/>
        <v>0</v>
      </c>
      <c r="AJ19" s="5">
        <f t="shared" si="10"/>
        <v>0</v>
      </c>
      <c r="AK19" s="6">
        <f t="shared" si="2"/>
        <v>10000</v>
      </c>
      <c r="AL19" s="5">
        <f t="shared" si="3"/>
        <v>10000</v>
      </c>
      <c r="AM19" s="5">
        <f>SUMIF(A$2:A19,A19,AL$2:AL19)</f>
        <v>10000</v>
      </c>
      <c r="AN19" s="5"/>
      <c r="AO19" s="5">
        <f t="shared" si="11"/>
        <v>0</v>
      </c>
      <c r="AP19" s="5">
        <f t="shared" si="11"/>
        <v>0</v>
      </c>
      <c r="AQ19" s="5">
        <f t="shared" si="11"/>
        <v>0</v>
      </c>
      <c r="AR19" s="5">
        <f t="shared" si="11"/>
        <v>0</v>
      </c>
      <c r="AS19" s="5">
        <f t="shared" si="11"/>
        <v>0</v>
      </c>
      <c r="AT19" s="5">
        <f t="shared" si="11"/>
        <v>0</v>
      </c>
      <c r="AU19" s="5">
        <f t="shared" si="11"/>
        <v>10000</v>
      </c>
      <c r="AV19" s="5">
        <f t="shared" si="11"/>
        <v>10000</v>
      </c>
      <c r="AW19" s="5">
        <f t="shared" si="11"/>
        <v>10000</v>
      </c>
    </row>
    <row r="20" spans="1:49">
      <c r="A20" t="s">
        <v>37</v>
      </c>
      <c r="B20">
        <v>20</v>
      </c>
      <c r="C20" s="16">
        <v>40211</v>
      </c>
      <c r="D20" s="1" t="s">
        <v>38</v>
      </c>
      <c r="E20" t="s">
        <v>39</v>
      </c>
      <c r="F20" s="7">
        <v>-3780</v>
      </c>
      <c r="G20" s="7">
        <v>0</v>
      </c>
      <c r="H20" s="7">
        <v>0</v>
      </c>
      <c r="I20" s="7">
        <v>0</v>
      </c>
      <c r="J20" s="7">
        <v>-17</v>
      </c>
      <c r="K20" s="7">
        <v>0</v>
      </c>
      <c r="L20" s="7">
        <v>0</v>
      </c>
      <c r="M20" s="7">
        <v>0</v>
      </c>
      <c r="N20" s="7">
        <v>-3797</v>
      </c>
      <c r="O20" s="7">
        <v>112</v>
      </c>
      <c r="P20" s="7">
        <v>35.339997278820199</v>
      </c>
      <c r="Q20" s="7">
        <v>112</v>
      </c>
      <c r="R20" s="7">
        <v>3797</v>
      </c>
      <c r="S20" s="7">
        <v>0</v>
      </c>
      <c r="T20" s="7">
        <v>3958.0796952278602</v>
      </c>
      <c r="U20" s="7">
        <v>161.079695227863</v>
      </c>
      <c r="V20" s="7">
        <v>161.079695227863</v>
      </c>
      <c r="W20" s="7">
        <v>0</v>
      </c>
      <c r="X20" s="7">
        <v>0</v>
      </c>
      <c r="Y20" s="7">
        <v>161.079695227863</v>
      </c>
      <c r="Z20" s="7">
        <v>161.079695227863</v>
      </c>
      <c r="AD20" s="5">
        <f t="shared" si="5"/>
        <v>3797</v>
      </c>
      <c r="AE20" s="5">
        <f t="shared" si="6"/>
        <v>0</v>
      </c>
      <c r="AF20" s="5">
        <f t="shared" si="7"/>
        <v>0</v>
      </c>
      <c r="AG20" s="5">
        <f t="shared" si="8"/>
        <v>425264</v>
      </c>
      <c r="AH20" s="5">
        <f t="shared" si="1"/>
        <v>425264</v>
      </c>
      <c r="AI20" s="5">
        <f t="shared" si="9"/>
        <v>425264</v>
      </c>
      <c r="AJ20" s="5">
        <f t="shared" si="10"/>
        <v>-17</v>
      </c>
      <c r="AK20" s="6">
        <f t="shared" si="2"/>
        <v>0</v>
      </c>
      <c r="AL20" s="5">
        <f t="shared" si="3"/>
        <v>425247</v>
      </c>
      <c r="AM20" s="5">
        <f>SUMIF(A$2:A20,A20,AL$2:AL20)</f>
        <v>425247</v>
      </c>
      <c r="AN20" s="5"/>
      <c r="AO20" s="5">
        <f t="shared" si="11"/>
        <v>0</v>
      </c>
      <c r="AP20" s="5">
        <f t="shared" si="11"/>
        <v>-3958.0796952278602</v>
      </c>
      <c r="AQ20" s="5">
        <f t="shared" si="11"/>
        <v>425102.92030477215</v>
      </c>
      <c r="AR20" s="5">
        <f t="shared" si="11"/>
        <v>425102.92030477215</v>
      </c>
      <c r="AS20" s="5">
        <f t="shared" si="11"/>
        <v>425264</v>
      </c>
      <c r="AT20" s="5">
        <f t="shared" si="11"/>
        <v>-17</v>
      </c>
      <c r="AU20" s="5">
        <f t="shared" si="11"/>
        <v>-161.079695227863</v>
      </c>
      <c r="AV20" s="5">
        <f t="shared" si="11"/>
        <v>425085.92030477215</v>
      </c>
      <c r="AW20" s="5">
        <f t="shared" si="11"/>
        <v>425247</v>
      </c>
    </row>
    <row r="21" spans="1:49">
      <c r="A21" t="s">
        <v>37</v>
      </c>
      <c r="B21">
        <v>18</v>
      </c>
      <c r="C21" s="16">
        <v>40252</v>
      </c>
      <c r="D21" s="1" t="s">
        <v>38</v>
      </c>
      <c r="E21" t="s">
        <v>40</v>
      </c>
      <c r="F21" s="7">
        <v>-1710</v>
      </c>
      <c r="G21" s="7">
        <v>0</v>
      </c>
      <c r="H21" s="7">
        <v>0</v>
      </c>
      <c r="I21" s="7">
        <v>0</v>
      </c>
      <c r="J21" s="7">
        <v>-10</v>
      </c>
      <c r="K21" s="7">
        <v>0</v>
      </c>
      <c r="L21" s="7">
        <v>0</v>
      </c>
      <c r="M21" s="7">
        <v>0</v>
      </c>
      <c r="N21" s="7">
        <v>-1720</v>
      </c>
      <c r="O21" s="7">
        <v>60</v>
      </c>
      <c r="P21" s="7">
        <v>28.330000308797</v>
      </c>
      <c r="Q21" s="7">
        <v>228</v>
      </c>
      <c r="R21" s="7">
        <v>5517</v>
      </c>
      <c r="S21" s="7">
        <v>0</v>
      </c>
      <c r="T21" s="7">
        <v>6459.24007040571</v>
      </c>
      <c r="U21" s="7">
        <v>942.24007040571701</v>
      </c>
      <c r="V21" s="7">
        <v>781.16037517785298</v>
      </c>
      <c r="W21" s="7">
        <v>0</v>
      </c>
      <c r="X21" s="7">
        <v>0</v>
      </c>
      <c r="Y21" s="7">
        <v>781.16037517785298</v>
      </c>
      <c r="Z21" s="7">
        <v>942.24007040571701</v>
      </c>
      <c r="AD21" s="5">
        <f t="shared" si="5"/>
        <v>5517</v>
      </c>
      <c r="AE21" s="5">
        <f t="shared" si="6"/>
        <v>0</v>
      </c>
      <c r="AF21" s="5">
        <f t="shared" si="7"/>
        <v>0</v>
      </c>
      <c r="AG21" s="5">
        <f t="shared" si="8"/>
        <v>1257876</v>
      </c>
      <c r="AH21" s="5">
        <f t="shared" si="1"/>
        <v>1257876</v>
      </c>
      <c r="AI21" s="5">
        <f t="shared" si="9"/>
        <v>832612</v>
      </c>
      <c r="AJ21" s="5">
        <f t="shared" si="10"/>
        <v>-10</v>
      </c>
      <c r="AK21" s="6">
        <f t="shared" si="2"/>
        <v>0</v>
      </c>
      <c r="AL21" s="5">
        <f t="shared" si="3"/>
        <v>832602</v>
      </c>
      <c r="AM21" s="5">
        <f>SUMIF(A$2:A21,A21,AL$2:AL21)</f>
        <v>1257849</v>
      </c>
      <c r="AN21" s="5"/>
      <c r="AO21" s="5">
        <f t="shared" si="11"/>
        <v>0</v>
      </c>
      <c r="AP21" s="5">
        <f t="shared" si="11"/>
        <v>-6459.24007040571</v>
      </c>
      <c r="AQ21" s="5">
        <f t="shared" si="11"/>
        <v>1256933.7599295944</v>
      </c>
      <c r="AR21" s="5">
        <f t="shared" si="11"/>
        <v>1257094.8396248221</v>
      </c>
      <c r="AS21" s="5">
        <f t="shared" si="11"/>
        <v>832612</v>
      </c>
      <c r="AT21" s="5">
        <f t="shared" si="11"/>
        <v>-10</v>
      </c>
      <c r="AU21" s="5">
        <f t="shared" si="11"/>
        <v>-781.16037517785298</v>
      </c>
      <c r="AV21" s="5">
        <f t="shared" si="11"/>
        <v>831659.75992959423</v>
      </c>
      <c r="AW21" s="5">
        <f t="shared" si="11"/>
        <v>1257849</v>
      </c>
    </row>
    <row r="22" spans="1:49">
      <c r="A22" t="s">
        <v>37</v>
      </c>
      <c r="B22">
        <v>14</v>
      </c>
      <c r="C22" s="16">
        <v>40266</v>
      </c>
      <c r="D22" s="1" t="s">
        <v>41</v>
      </c>
      <c r="E22" t="s">
        <v>42</v>
      </c>
      <c r="F22" s="7">
        <v>0</v>
      </c>
      <c r="G22" s="7">
        <v>0</v>
      </c>
      <c r="H22" s="7">
        <v>0</v>
      </c>
      <c r="I22" s="7">
        <v>0</v>
      </c>
      <c r="J22" s="7">
        <v>0</v>
      </c>
      <c r="K22" s="7">
        <v>97.21</v>
      </c>
      <c r="L22" s="7">
        <v>0</v>
      </c>
      <c r="M22" s="7">
        <v>0</v>
      </c>
      <c r="N22" s="7">
        <v>97.21</v>
      </c>
      <c r="O22" s="7">
        <v>0</v>
      </c>
      <c r="P22" s="7">
        <v>28.380001407647999</v>
      </c>
      <c r="Q22" s="7">
        <v>228</v>
      </c>
      <c r="R22" s="7">
        <v>5517</v>
      </c>
      <c r="S22" s="7">
        <v>0</v>
      </c>
      <c r="T22" s="7">
        <v>6470.6403209437503</v>
      </c>
      <c r="U22" s="7">
        <v>953.64032094375898</v>
      </c>
      <c r="V22" s="7">
        <v>11.400250538042201</v>
      </c>
      <c r="W22" s="7">
        <v>0</v>
      </c>
      <c r="X22" s="7">
        <v>97.21</v>
      </c>
      <c r="Y22" s="7">
        <v>108.610250538042</v>
      </c>
      <c r="Z22" s="7">
        <v>1050.8503209437499</v>
      </c>
      <c r="AD22" s="5">
        <f t="shared" si="5"/>
        <v>5517</v>
      </c>
      <c r="AE22" s="5">
        <f t="shared" si="6"/>
        <v>-97.21</v>
      </c>
      <c r="AF22" s="5">
        <f t="shared" si="7"/>
        <v>0</v>
      </c>
      <c r="AG22" s="5">
        <f t="shared" si="8"/>
        <v>1257876</v>
      </c>
      <c r="AH22" s="5">
        <f t="shared" si="1"/>
        <v>1257973.21</v>
      </c>
      <c r="AI22" s="5">
        <f t="shared" si="9"/>
        <v>97.209999999962747</v>
      </c>
      <c r="AJ22" s="5">
        <f t="shared" si="10"/>
        <v>0</v>
      </c>
      <c r="AK22" s="6">
        <f t="shared" si="2"/>
        <v>0</v>
      </c>
      <c r="AL22" s="5">
        <f t="shared" si="3"/>
        <v>97.209999999962747</v>
      </c>
      <c r="AM22" s="5">
        <f>SUMIF(A$2:A22,A22,AL$2:AL22)</f>
        <v>1257946.21</v>
      </c>
      <c r="AN22" s="5"/>
      <c r="AO22" s="5">
        <f t="shared" si="11"/>
        <v>-97.21</v>
      </c>
      <c r="AP22" s="5">
        <f t="shared" si="11"/>
        <v>-6470.6403209437503</v>
      </c>
      <c r="AQ22" s="5">
        <f t="shared" si="11"/>
        <v>1256922.3596790563</v>
      </c>
      <c r="AR22" s="5">
        <f t="shared" si="11"/>
        <v>1257961.8097494619</v>
      </c>
      <c r="AS22" s="5">
        <f t="shared" si="11"/>
        <v>97.209999999962747</v>
      </c>
      <c r="AT22" s="5">
        <f t="shared" si="11"/>
        <v>-97.21</v>
      </c>
      <c r="AU22" s="5">
        <f t="shared" si="11"/>
        <v>-108.610250538042</v>
      </c>
      <c r="AV22" s="5">
        <f t="shared" si="11"/>
        <v>-953.64032094378717</v>
      </c>
      <c r="AW22" s="5">
        <f t="shared" si="11"/>
        <v>1257946.21</v>
      </c>
    </row>
    <row r="23" spans="1:49">
      <c r="A23" t="s">
        <v>37</v>
      </c>
      <c r="B23">
        <v>6</v>
      </c>
      <c r="C23" s="16">
        <v>40276</v>
      </c>
      <c r="D23" s="1" t="s">
        <v>43</v>
      </c>
      <c r="E23" t="s">
        <v>44</v>
      </c>
      <c r="F23" s="7">
        <v>0</v>
      </c>
      <c r="G23" s="7">
        <v>0</v>
      </c>
      <c r="H23" s="7">
        <v>0</v>
      </c>
      <c r="I23" s="7">
        <v>0</v>
      </c>
      <c r="J23" s="7">
        <v>0</v>
      </c>
      <c r="K23" s="7">
        <v>0</v>
      </c>
      <c r="L23" s="7">
        <v>-3.76</v>
      </c>
      <c r="M23" s="7">
        <v>0</v>
      </c>
      <c r="N23" s="7">
        <v>-3.76</v>
      </c>
      <c r="O23" s="7">
        <v>0</v>
      </c>
      <c r="P23" s="7">
        <v>30.120001096368</v>
      </c>
      <c r="Q23" s="7">
        <v>228</v>
      </c>
      <c r="R23" s="7">
        <v>5517</v>
      </c>
      <c r="S23" s="7">
        <v>0</v>
      </c>
      <c r="T23" s="7">
        <v>6867.36024997191</v>
      </c>
      <c r="U23" s="7">
        <v>1350.36024997191</v>
      </c>
      <c r="V23" s="7">
        <v>396.71992902815299</v>
      </c>
      <c r="W23" s="7">
        <v>0</v>
      </c>
      <c r="X23" s="7">
        <v>-3.76</v>
      </c>
      <c r="Y23" s="7">
        <v>392.959929028153</v>
      </c>
      <c r="Z23" s="7">
        <v>1443.81024997191</v>
      </c>
      <c r="AD23" s="5">
        <f t="shared" si="5"/>
        <v>5517</v>
      </c>
      <c r="AE23" s="5">
        <f t="shared" si="6"/>
        <v>-97.21</v>
      </c>
      <c r="AF23" s="5">
        <f t="shared" si="7"/>
        <v>0</v>
      </c>
      <c r="AG23" s="5">
        <f t="shared" si="8"/>
        <v>1257876</v>
      </c>
      <c r="AH23" s="5">
        <f t="shared" si="1"/>
        <v>1257973.21</v>
      </c>
      <c r="AI23" s="5">
        <f t="shared" si="9"/>
        <v>0</v>
      </c>
      <c r="AJ23" s="5">
        <f t="shared" si="10"/>
        <v>0</v>
      </c>
      <c r="AK23" s="6">
        <f t="shared" si="2"/>
        <v>-3.76</v>
      </c>
      <c r="AL23" s="5">
        <f t="shared" si="3"/>
        <v>-3.76</v>
      </c>
      <c r="AM23" s="5">
        <f>SUMIF(A$2:A23,A23,AL$2:AL23)</f>
        <v>1257942.45</v>
      </c>
      <c r="AN23" s="5"/>
      <c r="AO23" s="5">
        <f t="shared" si="11"/>
        <v>-97.21</v>
      </c>
      <c r="AP23" s="5">
        <f t="shared" si="11"/>
        <v>-6867.36024997191</v>
      </c>
      <c r="AQ23" s="5">
        <f t="shared" si="11"/>
        <v>1256525.639750028</v>
      </c>
      <c r="AR23" s="5">
        <f t="shared" si="11"/>
        <v>1257576.4900709719</v>
      </c>
      <c r="AS23" s="5">
        <f t="shared" si="11"/>
        <v>0</v>
      </c>
      <c r="AT23" s="5">
        <f t="shared" si="11"/>
        <v>3.76</v>
      </c>
      <c r="AU23" s="5">
        <f t="shared" si="11"/>
        <v>-396.71992902815299</v>
      </c>
      <c r="AV23" s="5">
        <f t="shared" si="11"/>
        <v>-1447.57024997191</v>
      </c>
      <c r="AW23" s="5">
        <f t="shared" si="11"/>
        <v>1257942.45</v>
      </c>
    </row>
    <row r="24" spans="1:49">
      <c r="A24" t="s">
        <v>37</v>
      </c>
      <c r="B24">
        <v>4</v>
      </c>
      <c r="C24" s="16">
        <v>40283</v>
      </c>
      <c r="D24" s="1" t="s">
        <v>45</v>
      </c>
      <c r="E24" t="s">
        <v>46</v>
      </c>
      <c r="F24" s="7">
        <v>0</v>
      </c>
      <c r="G24" s="7">
        <v>936</v>
      </c>
      <c r="H24" s="7">
        <v>0</v>
      </c>
      <c r="I24" s="7">
        <v>0</v>
      </c>
      <c r="J24" s="7">
        <v>-9</v>
      </c>
      <c r="K24" s="7">
        <v>0</v>
      </c>
      <c r="L24" s="7">
        <v>0</v>
      </c>
      <c r="M24" s="7">
        <v>0</v>
      </c>
      <c r="N24" s="7">
        <v>927</v>
      </c>
      <c r="O24" s="7">
        <v>-30</v>
      </c>
      <c r="P24" s="7">
        <v>31.069997908989102</v>
      </c>
      <c r="Q24" s="7">
        <v>198</v>
      </c>
      <c r="R24" s="7">
        <v>4791.0789473684199</v>
      </c>
      <c r="S24" s="7">
        <v>0</v>
      </c>
      <c r="T24" s="7">
        <v>6151.8595859798497</v>
      </c>
      <c r="U24" s="7">
        <v>1360.78063861142</v>
      </c>
      <c r="V24" s="7">
        <v>188.09936889897801</v>
      </c>
      <c r="W24" s="7">
        <v>201.07894736842101</v>
      </c>
      <c r="X24" s="7">
        <v>0</v>
      </c>
      <c r="Y24" s="7">
        <v>389.178316267399</v>
      </c>
      <c r="Z24" s="7">
        <v>1655.30958597984</v>
      </c>
      <c r="AD24" s="5">
        <f t="shared" si="5"/>
        <v>4791.0789473684199</v>
      </c>
      <c r="AE24" s="5">
        <f t="shared" si="6"/>
        <v>-84.419210526315766</v>
      </c>
      <c r="AF24" s="5">
        <f t="shared" si="7"/>
        <v>0</v>
      </c>
      <c r="AG24" s="5">
        <f t="shared" si="8"/>
        <v>948633.63157894718</v>
      </c>
      <c r="AH24" s="5">
        <f t="shared" si="1"/>
        <v>948718.05078947346</v>
      </c>
      <c r="AI24" s="5">
        <f t="shared" si="9"/>
        <v>-309255.1592105265</v>
      </c>
      <c r="AJ24" s="5">
        <f t="shared" si="10"/>
        <v>-9</v>
      </c>
      <c r="AK24" s="6">
        <f t="shared" si="2"/>
        <v>0</v>
      </c>
      <c r="AL24" s="5">
        <f t="shared" si="3"/>
        <v>-309264.1592105265</v>
      </c>
      <c r="AM24" s="5">
        <f>SUMIF(A$2:A24,A24,AL$2:AL24)</f>
        <v>948678.29078947345</v>
      </c>
      <c r="AN24" s="5"/>
      <c r="AO24" s="5">
        <f t="shared" si="11"/>
        <v>-84.419210526315766</v>
      </c>
      <c r="AP24" s="5">
        <f t="shared" si="11"/>
        <v>-6151.8595859798497</v>
      </c>
      <c r="AQ24" s="5">
        <f t="shared" si="11"/>
        <v>947272.85094033577</v>
      </c>
      <c r="AR24" s="5">
        <f t="shared" si="11"/>
        <v>948529.95142057445</v>
      </c>
      <c r="AS24" s="5">
        <f t="shared" si="11"/>
        <v>-309456.23815789493</v>
      </c>
      <c r="AT24" s="5">
        <f t="shared" si="11"/>
        <v>-9</v>
      </c>
      <c r="AU24" s="5">
        <f t="shared" si="11"/>
        <v>-389.178316267399</v>
      </c>
      <c r="AV24" s="5">
        <f t="shared" si="11"/>
        <v>-310919.46879650635</v>
      </c>
      <c r="AW24" s="5">
        <f t="shared" si="11"/>
        <v>948678.29078947345</v>
      </c>
    </row>
    <row r="25" spans="1:49">
      <c r="A25" t="s">
        <v>37</v>
      </c>
      <c r="B25">
        <v>115</v>
      </c>
      <c r="C25" s="16">
        <v>40296</v>
      </c>
      <c r="D25" s="1" t="s">
        <v>47</v>
      </c>
      <c r="E25" t="s">
        <v>48</v>
      </c>
      <c r="F25" s="7">
        <v>0</v>
      </c>
      <c r="G25" s="7">
        <v>332.28</v>
      </c>
      <c r="H25" s="7">
        <v>0</v>
      </c>
      <c r="I25" s="7">
        <v>0</v>
      </c>
      <c r="J25" s="7">
        <v>-3</v>
      </c>
      <c r="K25" s="7">
        <v>0</v>
      </c>
      <c r="L25" s="7">
        <v>0</v>
      </c>
      <c r="M25" s="7">
        <v>-329.28</v>
      </c>
      <c r="N25" s="7">
        <v>0</v>
      </c>
      <c r="O25" s="7">
        <v>-12</v>
      </c>
      <c r="P25" s="7">
        <v>30.6200030068842</v>
      </c>
      <c r="Q25" s="7">
        <v>186</v>
      </c>
      <c r="R25" s="7">
        <v>4500.71052631579</v>
      </c>
      <c r="S25" s="7">
        <v>0</v>
      </c>
      <c r="T25" s="7">
        <v>5695.3205592804698</v>
      </c>
      <c r="U25" s="7">
        <v>1194.6100329646799</v>
      </c>
      <c r="V25" s="7">
        <v>-83.699051791501702</v>
      </c>
      <c r="W25" s="7">
        <v>38.911578947368298</v>
      </c>
      <c r="X25" s="7">
        <v>0</v>
      </c>
      <c r="Y25" s="7">
        <v>-44.787472844133397</v>
      </c>
      <c r="Z25" s="7">
        <v>1528.05055928047</v>
      </c>
      <c r="AD25" s="5">
        <f t="shared" si="5"/>
        <v>4500.71052631579</v>
      </c>
      <c r="AE25" s="5">
        <f t="shared" si="6"/>
        <v>-79.30289473684212</v>
      </c>
      <c r="AF25" s="5">
        <f t="shared" si="7"/>
        <v>0</v>
      </c>
      <c r="AG25" s="5">
        <f t="shared" si="8"/>
        <v>837132.15789473697</v>
      </c>
      <c r="AH25" s="5">
        <f t="shared" si="1"/>
        <v>837211.46078947384</v>
      </c>
      <c r="AI25" s="5">
        <f t="shared" si="9"/>
        <v>-111506.58999999962</v>
      </c>
      <c r="AJ25" s="5">
        <f t="shared" si="10"/>
        <v>-3</v>
      </c>
      <c r="AK25" s="6">
        <f t="shared" si="2"/>
        <v>-329.28</v>
      </c>
      <c r="AL25" s="5">
        <f t="shared" si="3"/>
        <v>-111838.86999999962</v>
      </c>
      <c r="AM25" s="5">
        <f>SUMIF(A$2:A25,A25,AL$2:AL25)</f>
        <v>836839.42078947381</v>
      </c>
      <c r="AN25" s="5"/>
      <c r="AO25" s="5">
        <f t="shared" si="11"/>
        <v>-79.30289473684212</v>
      </c>
      <c r="AP25" s="5">
        <f t="shared" si="11"/>
        <v>-5695.3205592804698</v>
      </c>
      <c r="AQ25" s="5">
        <f t="shared" si="11"/>
        <v>835937.54786177224</v>
      </c>
      <c r="AR25" s="5">
        <f t="shared" si="11"/>
        <v>837295.1598412653</v>
      </c>
      <c r="AS25" s="5">
        <f t="shared" si="11"/>
        <v>-111545.50157894699</v>
      </c>
      <c r="AT25" s="5">
        <f t="shared" si="11"/>
        <v>-3</v>
      </c>
      <c r="AU25" s="5">
        <f t="shared" si="11"/>
        <v>-284.49252715586658</v>
      </c>
      <c r="AV25" s="5">
        <f t="shared" si="11"/>
        <v>-113366.92055928009</v>
      </c>
      <c r="AW25" s="5">
        <f t="shared" si="11"/>
        <v>836839.42078947381</v>
      </c>
    </row>
    <row r="26" spans="1:49">
      <c r="A26" t="s">
        <v>37</v>
      </c>
      <c r="B26">
        <v>126</v>
      </c>
      <c r="C26" s="16">
        <v>40312</v>
      </c>
      <c r="D26" s="1" t="s">
        <v>45</v>
      </c>
      <c r="E26" t="s">
        <v>49</v>
      </c>
      <c r="F26" s="7">
        <v>0</v>
      </c>
      <c r="G26" s="7">
        <v>2457.06</v>
      </c>
      <c r="H26" s="7">
        <v>0</v>
      </c>
      <c r="I26" s="7">
        <v>0</v>
      </c>
      <c r="J26" s="7">
        <v>0</v>
      </c>
      <c r="K26" s="7">
        <v>0</v>
      </c>
      <c r="L26" s="7">
        <v>0</v>
      </c>
      <c r="M26" s="7">
        <v>0</v>
      </c>
      <c r="N26" s="7">
        <v>2457.06</v>
      </c>
      <c r="O26" s="7">
        <v>-186</v>
      </c>
      <c r="P26" s="7">
        <v>27.48</v>
      </c>
      <c r="Q26" s="7">
        <v>0</v>
      </c>
      <c r="R26" s="7">
        <v>0</v>
      </c>
      <c r="S26" s="7">
        <v>0</v>
      </c>
      <c r="T26" s="7">
        <v>0</v>
      </c>
      <c r="U26" s="7">
        <v>0</v>
      </c>
      <c r="V26" s="7">
        <v>0</v>
      </c>
      <c r="W26" s="7">
        <v>-2043.6505263157901</v>
      </c>
      <c r="X26" s="7">
        <v>0</v>
      </c>
      <c r="Y26" s="7">
        <v>-2043.6505263157901</v>
      </c>
      <c r="Z26" s="7">
        <v>-1710.21</v>
      </c>
      <c r="AD26" s="5">
        <f t="shared" si="5"/>
        <v>0</v>
      </c>
      <c r="AE26" s="5">
        <f t="shared" si="6"/>
        <v>0</v>
      </c>
      <c r="AF26" s="5">
        <f t="shared" si="7"/>
        <v>0</v>
      </c>
      <c r="AG26" s="5">
        <f t="shared" si="8"/>
        <v>0</v>
      </c>
      <c r="AH26" s="5">
        <f t="shared" si="1"/>
        <v>0</v>
      </c>
      <c r="AI26" s="5">
        <f t="shared" si="9"/>
        <v>-837211.46078947384</v>
      </c>
      <c r="AJ26" s="5">
        <f t="shared" si="10"/>
        <v>0</v>
      </c>
      <c r="AK26" s="6">
        <f t="shared" si="2"/>
        <v>0</v>
      </c>
      <c r="AL26" s="5">
        <f t="shared" si="3"/>
        <v>-837211.46078947384</v>
      </c>
      <c r="AM26" s="5">
        <f>SUMIF(A$2:A26,A26,AL$2:AL26)</f>
        <v>-372.04000000003725</v>
      </c>
      <c r="AN26" s="5"/>
      <c r="AO26" s="5">
        <f t="shared" si="11"/>
        <v>0</v>
      </c>
      <c r="AP26" s="5">
        <f t="shared" si="11"/>
        <v>0</v>
      </c>
      <c r="AQ26" s="5">
        <f t="shared" si="11"/>
        <v>0</v>
      </c>
      <c r="AR26" s="5">
        <f t="shared" si="11"/>
        <v>0</v>
      </c>
      <c r="AS26" s="5">
        <f t="shared" si="11"/>
        <v>-835167.81026315806</v>
      </c>
      <c r="AT26" s="5">
        <f t="shared" si="11"/>
        <v>0</v>
      </c>
      <c r="AU26" s="5">
        <f t="shared" si="11"/>
        <v>2043.6505263157901</v>
      </c>
      <c r="AV26" s="5">
        <f t="shared" si="11"/>
        <v>-835501.25078947388</v>
      </c>
      <c r="AW26" s="5">
        <f t="shared" si="11"/>
        <v>-372.04000000003725</v>
      </c>
    </row>
    <row r="27" spans="1:49">
      <c r="A27" t="s">
        <v>50</v>
      </c>
      <c r="B27">
        <v>89</v>
      </c>
      <c r="C27" s="16">
        <v>40219</v>
      </c>
      <c r="D27" s="1" t="s">
        <v>51</v>
      </c>
      <c r="E27" t="s">
        <v>52</v>
      </c>
      <c r="F27" s="7">
        <v>0</v>
      </c>
      <c r="G27" s="7">
        <v>0</v>
      </c>
      <c r="H27" s="7">
        <v>162.18</v>
      </c>
      <c r="I27" s="7">
        <v>0</v>
      </c>
      <c r="J27" s="7">
        <v>-11</v>
      </c>
      <c r="K27" s="7">
        <v>0</v>
      </c>
      <c r="L27" s="7">
        <v>0</v>
      </c>
      <c r="M27" s="7">
        <v>0</v>
      </c>
      <c r="N27" s="7">
        <v>151.18</v>
      </c>
      <c r="O27" s="7">
        <v>-51</v>
      </c>
      <c r="P27" s="7">
        <v>3.2</v>
      </c>
      <c r="Q27" s="7">
        <v>-51</v>
      </c>
      <c r="R27" s="7">
        <v>0</v>
      </c>
      <c r="S27" s="7">
        <v>-151.18</v>
      </c>
      <c r="T27" s="7">
        <v>-163.19999999999999</v>
      </c>
      <c r="U27" s="7">
        <v>-12.02</v>
      </c>
      <c r="V27" s="7">
        <v>-12.02</v>
      </c>
      <c r="W27" s="7">
        <v>0</v>
      </c>
      <c r="X27" s="7">
        <v>0</v>
      </c>
      <c r="Y27" s="7">
        <v>-12.02</v>
      </c>
      <c r="Z27" s="7">
        <v>-12.02</v>
      </c>
      <c r="AD27" s="5">
        <f t="shared" si="5"/>
        <v>0</v>
      </c>
      <c r="AE27" s="5">
        <f t="shared" si="6"/>
        <v>0</v>
      </c>
      <c r="AF27" s="5">
        <f t="shared" si="7"/>
        <v>0</v>
      </c>
      <c r="AG27" s="5">
        <f t="shared" si="8"/>
        <v>0</v>
      </c>
      <c r="AH27" s="5">
        <f t="shared" si="1"/>
        <v>0</v>
      </c>
      <c r="AI27" s="5">
        <f t="shared" si="9"/>
        <v>0</v>
      </c>
      <c r="AJ27" s="5">
        <f t="shared" si="10"/>
        <v>151.18</v>
      </c>
      <c r="AK27" s="6">
        <f t="shared" si="2"/>
        <v>0</v>
      </c>
      <c r="AL27" s="5">
        <f t="shared" si="3"/>
        <v>151.18</v>
      </c>
      <c r="AM27" s="5">
        <f>SUMIF(A$2:A27,A27,AL$2:AL27)</f>
        <v>151.18</v>
      </c>
      <c r="AN27" s="5"/>
      <c r="AO27" s="5">
        <f t="shared" si="11"/>
        <v>151.18</v>
      </c>
      <c r="AP27" s="5">
        <f t="shared" si="11"/>
        <v>163.19999999999999</v>
      </c>
      <c r="AQ27" s="5">
        <f t="shared" si="11"/>
        <v>12.02</v>
      </c>
      <c r="AR27" s="5">
        <f t="shared" si="11"/>
        <v>12.02</v>
      </c>
      <c r="AS27" s="5">
        <f t="shared" si="11"/>
        <v>0</v>
      </c>
      <c r="AT27" s="5">
        <f t="shared" si="11"/>
        <v>151.18</v>
      </c>
      <c r="AU27" s="5">
        <f t="shared" si="11"/>
        <v>12.02</v>
      </c>
      <c r="AV27" s="5">
        <f t="shared" si="11"/>
        <v>163.20000000000002</v>
      </c>
      <c r="AW27" s="5">
        <f t="shared" si="11"/>
        <v>151.18</v>
      </c>
    </row>
    <row r="28" spans="1:49">
      <c r="A28" t="s">
        <v>50</v>
      </c>
      <c r="B28">
        <v>16</v>
      </c>
      <c r="C28" s="16">
        <v>40252</v>
      </c>
      <c r="D28" s="1" t="s">
        <v>51</v>
      </c>
      <c r="E28" t="s">
        <v>53</v>
      </c>
      <c r="F28" s="7">
        <v>0</v>
      </c>
      <c r="G28" s="7">
        <v>0</v>
      </c>
      <c r="H28" s="7">
        <v>304.2</v>
      </c>
      <c r="I28" s="7">
        <v>0</v>
      </c>
      <c r="J28" s="7">
        <v>-19</v>
      </c>
      <c r="K28" s="7">
        <v>0</v>
      </c>
      <c r="L28" s="7">
        <v>0</v>
      </c>
      <c r="M28" s="7">
        <v>0</v>
      </c>
      <c r="N28" s="7">
        <v>285.2</v>
      </c>
      <c r="O28" s="7">
        <v>-78</v>
      </c>
      <c r="P28" s="7">
        <v>3.8899999809389998</v>
      </c>
      <c r="Q28" s="7">
        <v>-129</v>
      </c>
      <c r="R28" s="7">
        <v>0</v>
      </c>
      <c r="S28" s="7">
        <v>-436.38</v>
      </c>
      <c r="T28" s="7">
        <v>-501.809997541131</v>
      </c>
      <c r="U28" s="7">
        <v>-65.429997541131002</v>
      </c>
      <c r="V28" s="7">
        <v>-53.409997541130998</v>
      </c>
      <c r="W28" s="7">
        <v>0</v>
      </c>
      <c r="X28" s="7">
        <v>0</v>
      </c>
      <c r="Y28" s="7">
        <v>-53.409997541130998</v>
      </c>
      <c r="Z28" s="7">
        <v>-65.429997541131002</v>
      </c>
      <c r="AD28" s="5">
        <f t="shared" si="5"/>
        <v>0</v>
      </c>
      <c r="AE28" s="5">
        <f t="shared" si="6"/>
        <v>0</v>
      </c>
      <c r="AF28" s="5">
        <f t="shared" si="7"/>
        <v>0</v>
      </c>
      <c r="AG28" s="5">
        <f t="shared" si="8"/>
        <v>0</v>
      </c>
      <c r="AH28" s="5">
        <f t="shared" si="1"/>
        <v>0</v>
      </c>
      <c r="AI28" s="5">
        <f t="shared" si="9"/>
        <v>0</v>
      </c>
      <c r="AJ28" s="5">
        <f t="shared" si="10"/>
        <v>285.2</v>
      </c>
      <c r="AK28" s="6">
        <f t="shared" si="2"/>
        <v>0</v>
      </c>
      <c r="AL28" s="5">
        <f t="shared" si="3"/>
        <v>285.2</v>
      </c>
      <c r="AM28" s="5">
        <f>SUMIF(A$2:A28,A28,AL$2:AL28)</f>
        <v>436.38</v>
      </c>
      <c r="AN28" s="5"/>
      <c r="AO28" s="5">
        <f t="shared" si="11"/>
        <v>436.38</v>
      </c>
      <c r="AP28" s="5">
        <f t="shared" si="11"/>
        <v>501.809997541131</v>
      </c>
      <c r="AQ28" s="5">
        <f t="shared" si="11"/>
        <v>65.429997541131002</v>
      </c>
      <c r="AR28" s="5">
        <f t="shared" si="11"/>
        <v>53.409997541130998</v>
      </c>
      <c r="AS28" s="5">
        <f t="shared" si="11"/>
        <v>0</v>
      </c>
      <c r="AT28" s="5">
        <f t="shared" si="11"/>
        <v>285.2</v>
      </c>
      <c r="AU28" s="5">
        <f t="shared" si="11"/>
        <v>53.409997541130998</v>
      </c>
      <c r="AV28" s="5">
        <f t="shared" si="11"/>
        <v>350.62999754113099</v>
      </c>
      <c r="AW28" s="5">
        <f t="shared" si="11"/>
        <v>436.38</v>
      </c>
    </row>
    <row r="29" spans="1:49">
      <c r="A29" t="s">
        <v>50</v>
      </c>
      <c r="B29">
        <v>92</v>
      </c>
      <c r="C29" s="16">
        <v>40268</v>
      </c>
      <c r="D29" s="1" t="s">
        <v>43</v>
      </c>
      <c r="E29" t="s">
        <v>54</v>
      </c>
      <c r="F29" s="7">
        <v>0</v>
      </c>
      <c r="G29" s="7">
        <v>0</v>
      </c>
      <c r="H29" s="7">
        <v>-12.27</v>
      </c>
      <c r="I29" s="7">
        <v>0</v>
      </c>
      <c r="J29" s="7">
        <v>0</v>
      </c>
      <c r="K29" s="7">
        <v>0</v>
      </c>
      <c r="L29" s="7">
        <v>0</v>
      </c>
      <c r="M29" s="7">
        <v>0</v>
      </c>
      <c r="N29" s="7">
        <v>-12.27</v>
      </c>
      <c r="O29" s="7">
        <v>0</v>
      </c>
      <c r="P29" s="7">
        <v>4.0500000040500002</v>
      </c>
      <c r="Q29" s="7">
        <v>-129</v>
      </c>
      <c r="R29" s="7">
        <v>0</v>
      </c>
      <c r="S29" s="7">
        <v>-424.11</v>
      </c>
      <c r="T29" s="7">
        <v>-522.45000052244995</v>
      </c>
      <c r="U29" s="7">
        <v>-98.340000522449998</v>
      </c>
      <c r="V29" s="7">
        <v>-32.910002981318897</v>
      </c>
      <c r="W29" s="7">
        <v>0</v>
      </c>
      <c r="X29" s="7">
        <v>0</v>
      </c>
      <c r="Y29" s="7">
        <v>-32.910002981318897</v>
      </c>
      <c r="Z29" s="7">
        <v>-98.340000522449998</v>
      </c>
      <c r="AD29" s="5">
        <f t="shared" si="5"/>
        <v>0</v>
      </c>
      <c r="AE29" s="5">
        <f t="shared" si="6"/>
        <v>0</v>
      </c>
      <c r="AF29" s="5">
        <f t="shared" si="7"/>
        <v>0</v>
      </c>
      <c r="AG29" s="5">
        <f t="shared" si="8"/>
        <v>0</v>
      </c>
      <c r="AH29" s="5">
        <f t="shared" si="1"/>
        <v>0</v>
      </c>
      <c r="AI29" s="5">
        <f t="shared" si="9"/>
        <v>0</v>
      </c>
      <c r="AJ29" s="5">
        <f t="shared" si="10"/>
        <v>-12.27</v>
      </c>
      <c r="AK29" s="6">
        <f t="shared" si="2"/>
        <v>0</v>
      </c>
      <c r="AL29" s="5">
        <f t="shared" si="3"/>
        <v>-12.27</v>
      </c>
      <c r="AM29" s="5">
        <f>SUMIF(A$2:A29,A29,AL$2:AL29)</f>
        <v>424.11</v>
      </c>
      <c r="AN29" s="5"/>
      <c r="AO29" s="5">
        <f t="shared" si="11"/>
        <v>424.11</v>
      </c>
      <c r="AP29" s="5">
        <f t="shared" si="11"/>
        <v>522.45000052244995</v>
      </c>
      <c r="AQ29" s="5">
        <f t="shared" si="11"/>
        <v>98.340000522449998</v>
      </c>
      <c r="AR29" s="5">
        <f t="shared" si="11"/>
        <v>32.910002981318897</v>
      </c>
      <c r="AS29" s="5">
        <f t="shared" si="11"/>
        <v>0</v>
      </c>
      <c r="AT29" s="5">
        <f t="shared" si="11"/>
        <v>-12.27</v>
      </c>
      <c r="AU29" s="5">
        <f t="shared" si="11"/>
        <v>32.910002981318897</v>
      </c>
      <c r="AV29" s="5">
        <f t="shared" si="11"/>
        <v>86.070000522450002</v>
      </c>
      <c r="AW29" s="5">
        <f t="shared" si="11"/>
        <v>424.11</v>
      </c>
    </row>
    <row r="30" spans="1:49">
      <c r="A30" t="s">
        <v>50</v>
      </c>
      <c r="B30">
        <v>96</v>
      </c>
      <c r="C30" s="16">
        <v>40296</v>
      </c>
      <c r="D30" s="1" t="s">
        <v>55</v>
      </c>
      <c r="E30" t="s">
        <v>56</v>
      </c>
      <c r="F30" s="7">
        <v>0</v>
      </c>
      <c r="G30" s="7">
        <v>0</v>
      </c>
      <c r="H30" s="7">
        <v>0</v>
      </c>
      <c r="I30" s="7">
        <v>-156.31</v>
      </c>
      <c r="J30" s="7">
        <v>-9</v>
      </c>
      <c r="K30" s="7">
        <v>0</v>
      </c>
      <c r="L30" s="7">
        <v>0</v>
      </c>
      <c r="M30" s="7">
        <v>0</v>
      </c>
      <c r="N30" s="7">
        <v>-165.31</v>
      </c>
      <c r="O30" s="7">
        <v>36</v>
      </c>
      <c r="P30" s="7">
        <v>4.4500000222500002</v>
      </c>
      <c r="Q30" s="7">
        <v>-93</v>
      </c>
      <c r="R30" s="7">
        <v>0</v>
      </c>
      <c r="S30" s="7">
        <v>-305.75372093023202</v>
      </c>
      <c r="T30" s="7">
        <v>-413.85000206925002</v>
      </c>
      <c r="U30" s="7">
        <v>-108.09628113901699</v>
      </c>
      <c r="V30" s="7">
        <v>-37.200001692599997</v>
      </c>
      <c r="W30" s="7">
        <v>-46.9537209302325</v>
      </c>
      <c r="X30" s="7">
        <v>0</v>
      </c>
      <c r="Y30" s="7">
        <v>-84.153722622832504</v>
      </c>
      <c r="Z30" s="7">
        <v>-155.05000206925001</v>
      </c>
      <c r="AD30" s="5">
        <f t="shared" si="5"/>
        <v>0</v>
      </c>
      <c r="AE30" s="5">
        <f t="shared" si="6"/>
        <v>0</v>
      </c>
      <c r="AF30" s="5">
        <f t="shared" si="7"/>
        <v>0</v>
      </c>
      <c r="AG30" s="5">
        <f t="shared" si="8"/>
        <v>0</v>
      </c>
      <c r="AH30" s="5">
        <f t="shared" si="1"/>
        <v>0</v>
      </c>
      <c r="AI30" s="5">
        <f t="shared" si="9"/>
        <v>0</v>
      </c>
      <c r="AJ30" s="5">
        <f t="shared" si="10"/>
        <v>-9</v>
      </c>
      <c r="AK30" s="6">
        <f t="shared" si="2"/>
        <v>0</v>
      </c>
      <c r="AL30" s="5">
        <f t="shared" si="3"/>
        <v>-9</v>
      </c>
      <c r="AM30" s="5">
        <f>SUMIF(A$2:A30,A30,AL$2:AL30)</f>
        <v>415.11</v>
      </c>
      <c r="AN30" s="5"/>
      <c r="AO30" s="5">
        <f t="shared" si="11"/>
        <v>305.75372093023202</v>
      </c>
      <c r="AP30" s="5">
        <f t="shared" si="11"/>
        <v>413.85000206925002</v>
      </c>
      <c r="AQ30" s="5">
        <f t="shared" si="11"/>
        <v>108.09628113901699</v>
      </c>
      <c r="AR30" s="5">
        <f t="shared" si="11"/>
        <v>37.200001692599997</v>
      </c>
      <c r="AS30" s="5">
        <f t="shared" si="11"/>
        <v>46.9537209302325</v>
      </c>
      <c r="AT30" s="5">
        <f t="shared" si="11"/>
        <v>-9</v>
      </c>
      <c r="AU30" s="5">
        <f t="shared" si="11"/>
        <v>84.153722622832504</v>
      </c>
      <c r="AV30" s="5">
        <f t="shared" si="11"/>
        <v>146.05000206925001</v>
      </c>
      <c r="AW30" s="5">
        <f t="shared" si="11"/>
        <v>415.11</v>
      </c>
    </row>
    <row r="31" spans="1:49">
      <c r="A31" t="s">
        <v>57</v>
      </c>
      <c r="B31">
        <v>56</v>
      </c>
      <c r="C31" s="16">
        <v>35830</v>
      </c>
      <c r="D31" s="1" t="s">
        <v>38</v>
      </c>
      <c r="E31" t="s">
        <v>58</v>
      </c>
      <c r="F31" s="7">
        <v>-10330</v>
      </c>
      <c r="G31" s="7">
        <v>0</v>
      </c>
      <c r="H31" s="7">
        <v>0</v>
      </c>
      <c r="I31" s="7">
        <v>0</v>
      </c>
      <c r="J31" s="7">
        <v>-10</v>
      </c>
      <c r="K31" s="7">
        <v>0</v>
      </c>
      <c r="L31" s="7">
        <v>0</v>
      </c>
      <c r="M31" s="7">
        <v>0</v>
      </c>
      <c r="N31" s="7">
        <v>-10340</v>
      </c>
      <c r="O31" s="7">
        <v>100</v>
      </c>
      <c r="P31" s="7">
        <v>103.300022519404</v>
      </c>
      <c r="Q31" s="7">
        <v>100</v>
      </c>
      <c r="R31" s="7">
        <v>10340</v>
      </c>
      <c r="S31" s="7">
        <v>0</v>
      </c>
      <c r="T31" s="7">
        <v>10330.002251940399</v>
      </c>
      <c r="U31" s="7">
        <v>-9.9977480595080106</v>
      </c>
      <c r="V31" s="7">
        <v>-9.9977480595080106</v>
      </c>
      <c r="W31" s="7">
        <v>0</v>
      </c>
      <c r="X31" s="7">
        <v>0</v>
      </c>
      <c r="Y31" s="7">
        <v>-9.9977480595080106</v>
      </c>
      <c r="Z31" s="7">
        <v>-9.9977480595080106</v>
      </c>
      <c r="AD31" s="5">
        <f t="shared" si="5"/>
        <v>10340</v>
      </c>
      <c r="AE31" s="5">
        <f t="shared" si="6"/>
        <v>0</v>
      </c>
      <c r="AF31" s="5">
        <f t="shared" si="7"/>
        <v>0</v>
      </c>
      <c r="AG31" s="5">
        <f t="shared" si="8"/>
        <v>1034000</v>
      </c>
      <c r="AH31" s="5">
        <f t="shared" si="1"/>
        <v>1034000</v>
      </c>
      <c r="AI31" s="5">
        <f t="shared" si="9"/>
        <v>1034000</v>
      </c>
      <c r="AJ31" s="5">
        <f t="shared" si="10"/>
        <v>-10</v>
      </c>
      <c r="AK31" s="6">
        <f t="shared" si="2"/>
        <v>0</v>
      </c>
      <c r="AL31" s="5">
        <f t="shared" si="3"/>
        <v>1033990</v>
      </c>
      <c r="AM31" s="5">
        <f>SUMIF(A$2:A31,A31,AL$2:AL31)</f>
        <v>1033990</v>
      </c>
      <c r="AN31" s="5"/>
      <c r="AO31" s="5">
        <f t="shared" si="11"/>
        <v>0</v>
      </c>
      <c r="AP31" s="5">
        <f t="shared" si="11"/>
        <v>-10330.002251940399</v>
      </c>
      <c r="AQ31" s="5">
        <f t="shared" si="11"/>
        <v>1034009.9977480595</v>
      </c>
      <c r="AR31" s="5">
        <f t="shared" si="11"/>
        <v>1034009.9977480595</v>
      </c>
      <c r="AS31" s="5">
        <f t="shared" si="11"/>
        <v>1034000</v>
      </c>
      <c r="AT31" s="5">
        <f t="shared" si="11"/>
        <v>-10</v>
      </c>
      <c r="AU31" s="5">
        <f t="shared" si="11"/>
        <v>9.9977480595080106</v>
      </c>
      <c r="AV31" s="5">
        <f t="shared" si="11"/>
        <v>1033999.9977480595</v>
      </c>
      <c r="AW31" s="5">
        <f t="shared" si="11"/>
        <v>1033990</v>
      </c>
    </row>
    <row r="32" spans="1:49">
      <c r="A32" t="s">
        <v>57</v>
      </c>
      <c r="B32">
        <v>103</v>
      </c>
      <c r="C32" s="16">
        <v>39079</v>
      </c>
      <c r="D32" s="1" t="s">
        <v>59</v>
      </c>
      <c r="E32" t="s">
        <v>60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141.16999999999999</v>
      </c>
      <c r="L32" s="7">
        <v>0</v>
      </c>
      <c r="M32" s="7">
        <v>-141.16999999999999</v>
      </c>
      <c r="N32" s="7">
        <v>0</v>
      </c>
      <c r="O32" s="7">
        <v>0</v>
      </c>
      <c r="P32" s="7">
        <v>25.19</v>
      </c>
      <c r="Q32" s="7">
        <v>800</v>
      </c>
      <c r="R32" s="7">
        <v>10340</v>
      </c>
      <c r="S32" s="7">
        <v>0</v>
      </c>
      <c r="T32" s="7">
        <v>20152</v>
      </c>
      <c r="U32" s="7">
        <v>9812</v>
      </c>
      <c r="V32" s="7">
        <v>9821.9977480595007</v>
      </c>
      <c r="W32" s="7">
        <v>0</v>
      </c>
      <c r="X32" s="7">
        <v>141.16999999999999</v>
      </c>
      <c r="Y32" s="7">
        <v>9963.1677480595008</v>
      </c>
      <c r="Z32" s="7">
        <v>9953.17</v>
      </c>
      <c r="AD32" s="5">
        <f t="shared" si="5"/>
        <v>10340</v>
      </c>
      <c r="AE32" s="5">
        <f t="shared" si="6"/>
        <v>-141.16999999999999</v>
      </c>
      <c r="AF32" s="5">
        <f t="shared" si="7"/>
        <v>0</v>
      </c>
      <c r="AG32" s="5">
        <f t="shared" si="8"/>
        <v>8272000</v>
      </c>
      <c r="AH32" s="5">
        <f t="shared" si="1"/>
        <v>8272141.1699999999</v>
      </c>
      <c r="AI32" s="5">
        <f t="shared" si="9"/>
        <v>7238141.1699999999</v>
      </c>
      <c r="AJ32" s="5">
        <f t="shared" si="10"/>
        <v>0</v>
      </c>
      <c r="AK32" s="6">
        <f t="shared" si="2"/>
        <v>-141.16999999999999</v>
      </c>
      <c r="AL32" s="5">
        <f t="shared" si="3"/>
        <v>7238000</v>
      </c>
      <c r="AM32" s="5">
        <f>SUMIF(A$2:A32,A32,AL$2:AL32)</f>
        <v>8271990</v>
      </c>
      <c r="AN32" s="5"/>
      <c r="AO32" s="5">
        <f t="shared" si="11"/>
        <v>-141.16999999999999</v>
      </c>
      <c r="AP32" s="5">
        <f t="shared" si="11"/>
        <v>-20152</v>
      </c>
      <c r="AQ32" s="5">
        <f t="shared" si="11"/>
        <v>8262188</v>
      </c>
      <c r="AR32" s="5">
        <f t="shared" si="11"/>
        <v>8262319.1722519407</v>
      </c>
      <c r="AS32" s="5">
        <f t="shared" si="11"/>
        <v>7238141.1699999999</v>
      </c>
      <c r="AT32" s="5">
        <f t="shared" si="11"/>
        <v>-141.16999999999999</v>
      </c>
      <c r="AU32" s="5">
        <f t="shared" si="11"/>
        <v>-10104.337748059501</v>
      </c>
      <c r="AV32" s="5">
        <f t="shared" si="11"/>
        <v>7228046.8300000001</v>
      </c>
      <c r="AW32" s="5">
        <f t="shared" si="11"/>
        <v>8271990</v>
      </c>
    </row>
    <row r="33" spans="1:49">
      <c r="A33" t="s">
        <v>61</v>
      </c>
      <c r="B33">
        <v>12</v>
      </c>
      <c r="C33" s="16">
        <v>39882</v>
      </c>
      <c r="D33" s="1" t="s">
        <v>38</v>
      </c>
      <c r="E33" t="s">
        <v>62</v>
      </c>
      <c r="F33" s="7">
        <v>-11474.63</v>
      </c>
      <c r="G33" s="7">
        <v>0</v>
      </c>
      <c r="H33" s="7">
        <v>0</v>
      </c>
      <c r="I33" s="7">
        <v>0</v>
      </c>
      <c r="J33" s="7">
        <v>-1219</v>
      </c>
      <c r="K33" s="7">
        <v>0</v>
      </c>
      <c r="L33" s="7">
        <v>0</v>
      </c>
      <c r="M33" s="7">
        <v>0</v>
      </c>
      <c r="N33" s="7">
        <v>-12693.63</v>
      </c>
      <c r="O33" s="7">
        <v>172.2141</v>
      </c>
      <c r="P33" s="7">
        <v>66.630020155581093</v>
      </c>
      <c r="Q33" s="7">
        <v>172.2141</v>
      </c>
      <c r="R33" s="7">
        <v>12693.63</v>
      </c>
      <c r="S33" s="7">
        <v>0</v>
      </c>
      <c r="T33" s="7">
        <v>11474.6289540752</v>
      </c>
      <c r="U33" s="7">
        <v>-1219.0010459247401</v>
      </c>
      <c r="V33" s="7">
        <v>-1219.0010459247401</v>
      </c>
      <c r="W33" s="7">
        <v>0</v>
      </c>
      <c r="X33" s="7">
        <v>0</v>
      </c>
      <c r="Y33" s="7">
        <v>-1219.0010459247401</v>
      </c>
      <c r="Z33" s="7">
        <v>-1219.0010459247401</v>
      </c>
      <c r="AD33" s="5">
        <f t="shared" si="5"/>
        <v>12693.63</v>
      </c>
      <c r="AE33" s="5">
        <f t="shared" si="6"/>
        <v>0</v>
      </c>
      <c r="AF33" s="5">
        <f t="shared" si="7"/>
        <v>0</v>
      </c>
      <c r="AG33" s="5">
        <f t="shared" si="8"/>
        <v>2186022.0661829999</v>
      </c>
      <c r="AH33" s="5">
        <f t="shared" si="1"/>
        <v>2186022.0661829999</v>
      </c>
      <c r="AI33" s="5">
        <f t="shared" si="9"/>
        <v>2186022.0661829999</v>
      </c>
      <c r="AJ33" s="5">
        <f t="shared" si="10"/>
        <v>-1219</v>
      </c>
      <c r="AK33" s="6">
        <f t="shared" si="2"/>
        <v>0</v>
      </c>
      <c r="AL33" s="5">
        <f t="shared" si="3"/>
        <v>2184803.0661829999</v>
      </c>
      <c r="AM33" s="5">
        <f>SUMIF(A$2:A33,A33,AL$2:AL33)</f>
        <v>2184803.0661829999</v>
      </c>
      <c r="AN33" s="5"/>
      <c r="AO33" s="5">
        <f t="shared" si="11"/>
        <v>0</v>
      </c>
      <c r="AP33" s="5">
        <f t="shared" si="11"/>
        <v>-11474.6289540752</v>
      </c>
      <c r="AQ33" s="5">
        <f t="shared" si="11"/>
        <v>2187241.0672289245</v>
      </c>
      <c r="AR33" s="5">
        <f t="shared" si="11"/>
        <v>2187241.0672289245</v>
      </c>
      <c r="AS33" s="5">
        <f t="shared" si="11"/>
        <v>2186022.0661829999</v>
      </c>
      <c r="AT33" s="5">
        <f t="shared" si="11"/>
        <v>-1219</v>
      </c>
      <c r="AU33" s="5">
        <f t="shared" si="11"/>
        <v>1219.0010459247401</v>
      </c>
      <c r="AV33" s="5">
        <f t="shared" si="11"/>
        <v>2186022.0672289245</v>
      </c>
      <c r="AW33" s="5">
        <f t="shared" si="11"/>
        <v>2184803.0661829999</v>
      </c>
    </row>
    <row r="34" spans="1:49">
      <c r="A34" t="s">
        <v>61</v>
      </c>
      <c r="B34">
        <v>10</v>
      </c>
      <c r="C34" s="16">
        <v>40177</v>
      </c>
      <c r="D34" s="1" t="s">
        <v>63</v>
      </c>
      <c r="E34" t="s">
        <v>64</v>
      </c>
      <c r="F34" s="7">
        <v>-302.11</v>
      </c>
      <c r="G34" s="7">
        <v>0</v>
      </c>
      <c r="H34" s="7">
        <v>0</v>
      </c>
      <c r="I34" s="7">
        <v>0</v>
      </c>
      <c r="J34" s="7">
        <v>0</v>
      </c>
      <c r="K34" s="7">
        <v>302.11</v>
      </c>
      <c r="L34" s="7">
        <v>0</v>
      </c>
      <c r="M34" s="7">
        <v>0</v>
      </c>
      <c r="N34" s="7">
        <v>0</v>
      </c>
      <c r="O34" s="7">
        <v>2.9129999999999998</v>
      </c>
      <c r="P34" s="7">
        <v>103.710018491496</v>
      </c>
      <c r="Q34" s="7">
        <v>175.12710000000001</v>
      </c>
      <c r="R34" s="7">
        <v>12995.74</v>
      </c>
      <c r="S34" s="7">
        <v>0</v>
      </c>
      <c r="T34" s="7">
        <v>18162.434779362098</v>
      </c>
      <c r="U34" s="7">
        <v>5166.6947793621202</v>
      </c>
      <c r="V34" s="7">
        <v>6385.6958252868599</v>
      </c>
      <c r="W34" s="7">
        <v>0</v>
      </c>
      <c r="X34" s="7">
        <v>302.11</v>
      </c>
      <c r="Y34" s="7">
        <v>6687.8058252868605</v>
      </c>
      <c r="Z34" s="7">
        <v>5468.8047793621199</v>
      </c>
      <c r="AD34" s="5">
        <f t="shared" si="5"/>
        <v>12995.74</v>
      </c>
      <c r="AE34" s="5">
        <f t="shared" si="6"/>
        <v>-302.11</v>
      </c>
      <c r="AF34" s="5">
        <f t="shared" si="7"/>
        <v>0</v>
      </c>
      <c r="AG34" s="5">
        <f t="shared" si="8"/>
        <v>2275906.2585539999</v>
      </c>
      <c r="AH34" s="5">
        <f t="shared" si="1"/>
        <v>2276208.3685539998</v>
      </c>
      <c r="AI34" s="5">
        <f t="shared" si="9"/>
        <v>90186.30237099994</v>
      </c>
      <c r="AJ34" s="5">
        <f t="shared" si="10"/>
        <v>0</v>
      </c>
      <c r="AK34" s="6">
        <f t="shared" si="2"/>
        <v>0</v>
      </c>
      <c r="AL34" s="5">
        <f t="shared" si="3"/>
        <v>90186.30237099994</v>
      </c>
      <c r="AM34" s="5">
        <f>SUMIF(A$2:A34,A34,AL$2:AL34)</f>
        <v>2274989.3685539998</v>
      </c>
      <c r="AN34" s="5"/>
      <c r="AO34" s="5">
        <f t="shared" si="11"/>
        <v>-302.11</v>
      </c>
      <c r="AP34" s="5">
        <f t="shared" si="11"/>
        <v>-18162.434779362098</v>
      </c>
      <c r="AQ34" s="5">
        <f t="shared" si="11"/>
        <v>2270739.5637746379</v>
      </c>
      <c r="AR34" s="5">
        <f t="shared" si="11"/>
        <v>2269822.6727287131</v>
      </c>
      <c r="AS34" s="5">
        <f t="shared" si="11"/>
        <v>90186.30237099994</v>
      </c>
      <c r="AT34" s="5">
        <f t="shared" si="11"/>
        <v>-302.11</v>
      </c>
      <c r="AU34" s="5">
        <f t="shared" si="11"/>
        <v>-6687.8058252868605</v>
      </c>
      <c r="AV34" s="5">
        <f t="shared" si="11"/>
        <v>84717.497591637817</v>
      </c>
      <c r="AW34" s="5">
        <f t="shared" si="11"/>
        <v>2274989.3685539998</v>
      </c>
    </row>
    <row r="35" spans="1:49">
      <c r="A35" t="s">
        <v>61</v>
      </c>
      <c r="B35">
        <v>112</v>
      </c>
      <c r="C35" s="16">
        <v>40265</v>
      </c>
      <c r="D35" s="1" t="s">
        <v>65</v>
      </c>
      <c r="E35" t="s">
        <v>66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7.61</v>
      </c>
      <c r="L35" s="7">
        <v>0</v>
      </c>
      <c r="M35" s="7">
        <v>0</v>
      </c>
      <c r="N35" s="7">
        <v>7.61</v>
      </c>
      <c r="O35" s="7">
        <v>0</v>
      </c>
      <c r="P35" s="7">
        <v>107.87998567353701</v>
      </c>
      <c r="Q35" s="7">
        <v>175.12710000000001</v>
      </c>
      <c r="R35" s="7">
        <v>12995.74</v>
      </c>
      <c r="S35" s="7">
        <v>0</v>
      </c>
      <c r="T35" s="7">
        <v>18892.709039048201</v>
      </c>
      <c r="U35" s="7">
        <v>5896.9690390482401</v>
      </c>
      <c r="V35" s="7">
        <v>730.27425968611703</v>
      </c>
      <c r="W35" s="7">
        <v>0</v>
      </c>
      <c r="X35" s="7">
        <v>7.61</v>
      </c>
      <c r="Y35" s="7">
        <v>737.88425968611705</v>
      </c>
      <c r="Z35" s="7">
        <v>6206.6890390482404</v>
      </c>
      <c r="AD35" s="5">
        <f t="shared" si="5"/>
        <v>12995.74</v>
      </c>
      <c r="AE35" s="5">
        <f t="shared" si="6"/>
        <v>-309.72000000000003</v>
      </c>
      <c r="AF35" s="5">
        <f t="shared" si="7"/>
        <v>0</v>
      </c>
      <c r="AG35" s="5">
        <f t="shared" si="8"/>
        <v>2275906.2585539999</v>
      </c>
      <c r="AH35" s="5">
        <f t="shared" si="1"/>
        <v>2276215.9785540001</v>
      </c>
      <c r="AI35" s="5">
        <f t="shared" si="9"/>
        <v>7.6100000003352761</v>
      </c>
      <c r="AJ35" s="5">
        <f t="shared" si="10"/>
        <v>0</v>
      </c>
      <c r="AK35" s="6">
        <f t="shared" si="2"/>
        <v>0</v>
      </c>
      <c r="AL35" s="5">
        <f t="shared" si="3"/>
        <v>7.6100000003352761</v>
      </c>
      <c r="AM35" s="5">
        <f>SUMIF(A$2:A35,A35,AL$2:AL35)</f>
        <v>2274996.9785540001</v>
      </c>
      <c r="AN35" s="5"/>
      <c r="AO35" s="5">
        <f t="shared" si="11"/>
        <v>-309.72000000000003</v>
      </c>
      <c r="AP35" s="5">
        <f t="shared" si="11"/>
        <v>-18892.709039048201</v>
      </c>
      <c r="AQ35" s="5">
        <f t="shared" si="11"/>
        <v>2270009.2895149519</v>
      </c>
      <c r="AR35" s="5">
        <f t="shared" si="11"/>
        <v>2275485.7042943141</v>
      </c>
      <c r="AS35" s="5">
        <f t="shared" si="11"/>
        <v>7.6100000003352761</v>
      </c>
      <c r="AT35" s="5">
        <f t="shared" si="11"/>
        <v>-7.61</v>
      </c>
      <c r="AU35" s="5">
        <f t="shared" si="11"/>
        <v>-737.88425968611705</v>
      </c>
      <c r="AV35" s="5">
        <f t="shared" si="11"/>
        <v>-6199.0790390479051</v>
      </c>
      <c r="AW35" s="5">
        <f t="shared" si="11"/>
        <v>2274996.9785540001</v>
      </c>
    </row>
    <row r="36" spans="1:49">
      <c r="A36" t="s">
        <v>61</v>
      </c>
      <c r="B36">
        <v>128</v>
      </c>
      <c r="C36" s="16">
        <v>40301</v>
      </c>
      <c r="D36" s="1" t="s">
        <v>45</v>
      </c>
      <c r="E36" t="s">
        <v>67</v>
      </c>
      <c r="F36" s="7">
        <v>0</v>
      </c>
      <c r="G36" s="7">
        <v>18034.59</v>
      </c>
      <c r="H36" s="7">
        <v>0</v>
      </c>
      <c r="I36" s="7">
        <v>0</v>
      </c>
      <c r="J36" s="7">
        <v>-22.19</v>
      </c>
      <c r="K36" s="7">
        <v>0</v>
      </c>
      <c r="L36" s="7">
        <v>0</v>
      </c>
      <c r="M36" s="7">
        <v>0</v>
      </c>
      <c r="N36" s="7">
        <v>18012.400000000001</v>
      </c>
      <c r="O36" s="7">
        <v>-175.12710000000001</v>
      </c>
      <c r="P36" s="7">
        <v>110.859951731577</v>
      </c>
      <c r="Q36" s="7">
        <v>0</v>
      </c>
      <c r="R36" s="7">
        <v>0</v>
      </c>
      <c r="S36" s="7">
        <v>0</v>
      </c>
      <c r="T36" s="7">
        <v>0</v>
      </c>
      <c r="U36" s="7">
        <v>0</v>
      </c>
      <c r="V36" s="7">
        <v>0</v>
      </c>
      <c r="W36" s="7">
        <v>5016.66</v>
      </c>
      <c r="X36" s="7">
        <v>0</v>
      </c>
      <c r="Y36" s="7">
        <v>5016.66</v>
      </c>
      <c r="Z36" s="7">
        <v>5326.38</v>
      </c>
      <c r="AD36" s="5">
        <f t="shared" si="5"/>
        <v>0</v>
      </c>
      <c r="AE36" s="5">
        <f t="shared" si="6"/>
        <v>0</v>
      </c>
      <c r="AF36" s="5">
        <f t="shared" si="7"/>
        <v>0</v>
      </c>
      <c r="AG36" s="5">
        <f t="shared" si="8"/>
        <v>0</v>
      </c>
      <c r="AH36" s="5">
        <f t="shared" si="1"/>
        <v>0</v>
      </c>
      <c r="AI36" s="5">
        <f t="shared" si="9"/>
        <v>-2276215.9785540001</v>
      </c>
      <c r="AJ36" s="5">
        <f t="shared" si="10"/>
        <v>-22.19</v>
      </c>
      <c r="AK36" s="6">
        <f t="shared" si="2"/>
        <v>0</v>
      </c>
      <c r="AL36" s="5">
        <f t="shared" si="3"/>
        <v>-2276238.1685540001</v>
      </c>
      <c r="AM36" s="5">
        <f>SUMIF(A$2:A36,A36,AL$2:AL36)</f>
        <v>-1241.1899999999441</v>
      </c>
      <c r="AN36" s="5"/>
      <c r="AO36" s="5">
        <f t="shared" si="11"/>
        <v>0</v>
      </c>
      <c r="AP36" s="5">
        <f t="shared" si="11"/>
        <v>0</v>
      </c>
      <c r="AQ36" s="5">
        <f t="shared" si="11"/>
        <v>0</v>
      </c>
      <c r="AR36" s="5">
        <f t="shared" si="11"/>
        <v>0</v>
      </c>
      <c r="AS36" s="5">
        <f t="shared" si="11"/>
        <v>-2281232.6385540003</v>
      </c>
      <c r="AT36" s="5">
        <f t="shared" si="11"/>
        <v>-22.19</v>
      </c>
      <c r="AU36" s="5">
        <f t="shared" si="11"/>
        <v>-5016.66</v>
      </c>
      <c r="AV36" s="5">
        <f t="shared" si="11"/>
        <v>-2281564.548554</v>
      </c>
      <c r="AW36" s="5">
        <f t="shared" si="11"/>
        <v>-1241.1899999999441</v>
      </c>
    </row>
    <row r="37" spans="1:49">
      <c r="A37" t="s">
        <v>68</v>
      </c>
      <c r="B37">
        <v>99</v>
      </c>
      <c r="C37" s="16">
        <v>40186</v>
      </c>
      <c r="D37" s="1" t="s">
        <v>69</v>
      </c>
      <c r="E37" t="s">
        <v>70</v>
      </c>
      <c r="F37" s="7">
        <v>-899.1</v>
      </c>
      <c r="G37" s="7">
        <v>0</v>
      </c>
      <c r="H37" s="7">
        <v>0</v>
      </c>
      <c r="I37" s="7">
        <v>0</v>
      </c>
      <c r="J37" s="7">
        <v>-12</v>
      </c>
      <c r="K37" s="7">
        <v>0</v>
      </c>
      <c r="L37" s="7">
        <v>0</v>
      </c>
      <c r="M37" s="7">
        <v>911.1</v>
      </c>
      <c r="N37" s="7">
        <v>0</v>
      </c>
      <c r="O37" s="7">
        <v>54</v>
      </c>
      <c r="P37" s="7">
        <v>16.699999866399999</v>
      </c>
      <c r="Q37" s="7">
        <v>54</v>
      </c>
      <c r="R37" s="7">
        <v>911.1</v>
      </c>
      <c r="S37" s="7">
        <v>0</v>
      </c>
      <c r="T37" s="7">
        <v>901.79999278560001</v>
      </c>
      <c r="U37" s="7">
        <v>-9.3000072143998906</v>
      </c>
      <c r="V37" s="7">
        <v>-9.3000072143998906</v>
      </c>
      <c r="W37" s="7">
        <v>0</v>
      </c>
      <c r="X37" s="7">
        <v>0</v>
      </c>
      <c r="Y37" s="7">
        <v>-9.3000072143998906</v>
      </c>
      <c r="Z37" s="7">
        <v>-9.3000072143998906</v>
      </c>
      <c r="AD37" s="5">
        <f t="shared" si="5"/>
        <v>911.1</v>
      </c>
      <c r="AE37" s="5">
        <f t="shared" si="6"/>
        <v>0</v>
      </c>
      <c r="AF37" s="5">
        <f t="shared" si="7"/>
        <v>0</v>
      </c>
      <c r="AG37" s="5">
        <f t="shared" si="8"/>
        <v>49199.4</v>
      </c>
      <c r="AH37" s="5">
        <f t="shared" si="1"/>
        <v>49199.4</v>
      </c>
      <c r="AI37" s="5">
        <f t="shared" si="9"/>
        <v>49199.4</v>
      </c>
      <c r="AJ37" s="5">
        <f t="shared" si="10"/>
        <v>-12</v>
      </c>
      <c r="AK37" s="6">
        <f t="shared" si="2"/>
        <v>911.1</v>
      </c>
      <c r="AL37" s="5">
        <f t="shared" si="3"/>
        <v>50098.5</v>
      </c>
      <c r="AM37" s="5">
        <f>SUMIF(A$2:A37,A37,AL$2:AL37)</f>
        <v>50098.5</v>
      </c>
      <c r="AN37" s="5"/>
      <c r="AO37" s="5">
        <f t="shared" si="11"/>
        <v>0</v>
      </c>
      <c r="AP37" s="5">
        <f t="shared" si="11"/>
        <v>-901.79999278560001</v>
      </c>
      <c r="AQ37" s="5">
        <f t="shared" si="11"/>
        <v>49208.7000072144</v>
      </c>
      <c r="AR37" s="5">
        <f t="shared" si="11"/>
        <v>49208.7000072144</v>
      </c>
      <c r="AS37" s="5">
        <f t="shared" si="11"/>
        <v>49199.4</v>
      </c>
      <c r="AT37" s="5">
        <f t="shared" si="11"/>
        <v>-12</v>
      </c>
      <c r="AU37" s="5">
        <f t="shared" si="11"/>
        <v>920.40000721439992</v>
      </c>
      <c r="AV37" s="5">
        <f t="shared" si="11"/>
        <v>50107.800007214399</v>
      </c>
      <c r="AW37" s="5">
        <f t="shared" si="11"/>
        <v>50098.5</v>
      </c>
    </row>
    <row r="38" spans="1:49">
      <c r="A38" t="s">
        <v>68</v>
      </c>
      <c r="B38">
        <v>122</v>
      </c>
      <c r="C38" s="16">
        <v>40187</v>
      </c>
      <c r="D38" s="1" t="s">
        <v>65</v>
      </c>
      <c r="E38" t="s">
        <v>71</v>
      </c>
      <c r="F38" s="7">
        <v>16.32</v>
      </c>
      <c r="G38" s="7">
        <v>0</v>
      </c>
      <c r="H38" s="7">
        <v>0</v>
      </c>
      <c r="I38" s="7">
        <v>0</v>
      </c>
      <c r="J38" s="7">
        <v>0</v>
      </c>
      <c r="K38" s="7">
        <v>0</v>
      </c>
      <c r="L38" s="7">
        <v>0</v>
      </c>
      <c r="M38" s="7">
        <v>0</v>
      </c>
      <c r="N38" s="7">
        <v>16.32</v>
      </c>
      <c r="O38" s="7">
        <v>0</v>
      </c>
      <c r="P38" s="7">
        <v>16.699999866399999</v>
      </c>
      <c r="Q38" s="7">
        <v>54</v>
      </c>
      <c r="R38" s="7">
        <v>894.78</v>
      </c>
      <c r="S38" s="7">
        <v>0</v>
      </c>
      <c r="T38" s="7">
        <v>901.79999278560001</v>
      </c>
      <c r="U38" s="7">
        <v>7.0199927856001496</v>
      </c>
      <c r="V38" s="7">
        <v>16.32</v>
      </c>
      <c r="W38" s="7">
        <v>0</v>
      </c>
      <c r="X38" s="7">
        <v>0</v>
      </c>
      <c r="Y38" s="7">
        <v>16.32</v>
      </c>
      <c r="Z38" s="7">
        <v>7.0199927856001496</v>
      </c>
      <c r="AD38" s="5">
        <f t="shared" si="5"/>
        <v>894.78</v>
      </c>
      <c r="AE38" s="5">
        <f t="shared" si="6"/>
        <v>0</v>
      </c>
      <c r="AF38" s="5">
        <f t="shared" si="7"/>
        <v>0</v>
      </c>
      <c r="AG38" s="5">
        <f t="shared" si="8"/>
        <v>48318.119999999995</v>
      </c>
      <c r="AH38" s="5">
        <f t="shared" si="1"/>
        <v>48318.119999999995</v>
      </c>
      <c r="AI38" s="5">
        <f t="shared" si="9"/>
        <v>-881.28000000000611</v>
      </c>
      <c r="AJ38" s="5">
        <f t="shared" si="10"/>
        <v>0</v>
      </c>
      <c r="AK38" s="6">
        <f t="shared" si="2"/>
        <v>0</v>
      </c>
      <c r="AL38" s="5">
        <f t="shared" si="3"/>
        <v>-881.28000000000611</v>
      </c>
      <c r="AM38" s="5">
        <f>SUMIF(A$2:A38,A38,AL$2:AL38)</f>
        <v>49217.219999999994</v>
      </c>
      <c r="AN38" s="5"/>
      <c r="AO38" s="5">
        <f t="shared" si="11"/>
        <v>0</v>
      </c>
      <c r="AP38" s="5">
        <f t="shared" si="11"/>
        <v>-901.79999278560001</v>
      </c>
      <c r="AQ38" s="5">
        <f t="shared" si="11"/>
        <v>48311.100007214394</v>
      </c>
      <c r="AR38" s="5">
        <f t="shared" si="11"/>
        <v>48301.799999999996</v>
      </c>
      <c r="AS38" s="5">
        <f t="shared" si="11"/>
        <v>-881.28000000000611</v>
      </c>
      <c r="AT38" s="5">
        <f t="shared" si="11"/>
        <v>0</v>
      </c>
      <c r="AU38" s="5">
        <f t="shared" si="11"/>
        <v>-16.32</v>
      </c>
      <c r="AV38" s="5">
        <f t="shared" si="11"/>
        <v>-888.29999278560626</v>
      </c>
      <c r="AW38" s="5">
        <f t="shared" si="11"/>
        <v>49217.219999999994</v>
      </c>
    </row>
    <row r="39" spans="1:49">
      <c r="A39" t="s">
        <v>57</v>
      </c>
      <c r="B39">
        <v>143</v>
      </c>
      <c r="C39" s="16">
        <v>40266</v>
      </c>
      <c r="D39" s="1" t="s">
        <v>38</v>
      </c>
      <c r="E39" t="s">
        <v>58</v>
      </c>
      <c r="F39" s="7">
        <v>-2974.7</v>
      </c>
      <c r="G39" s="7">
        <v>0</v>
      </c>
      <c r="H39" s="7">
        <v>0</v>
      </c>
      <c r="I39" s="7">
        <v>0</v>
      </c>
      <c r="J39" s="7">
        <v>-12.21</v>
      </c>
      <c r="K39" s="7">
        <v>0</v>
      </c>
      <c r="L39" s="7">
        <v>0</v>
      </c>
      <c r="M39" s="7">
        <v>0</v>
      </c>
      <c r="N39" s="7">
        <v>-2986.91</v>
      </c>
      <c r="O39" s="7">
        <v>197</v>
      </c>
      <c r="P39" s="7">
        <v>14.92</v>
      </c>
      <c r="Q39" s="7">
        <v>197</v>
      </c>
      <c r="R39" s="7">
        <v>2986.91</v>
      </c>
      <c r="S39" s="7">
        <v>0</v>
      </c>
      <c r="T39" s="7">
        <v>2939.24</v>
      </c>
      <c r="U39" s="7">
        <v>-47.67</v>
      </c>
      <c r="V39" s="7">
        <v>-47.67</v>
      </c>
      <c r="W39" s="7">
        <v>0</v>
      </c>
      <c r="X39" s="7">
        <v>0</v>
      </c>
      <c r="Y39" s="7">
        <v>-47.67</v>
      </c>
      <c r="Z39" s="7">
        <v>-47.67</v>
      </c>
      <c r="AD39" s="5">
        <f t="shared" si="5"/>
        <v>2986.91</v>
      </c>
      <c r="AE39" s="5">
        <f t="shared" si="6"/>
        <v>0</v>
      </c>
      <c r="AF39" s="5">
        <f t="shared" si="7"/>
        <v>0</v>
      </c>
      <c r="AG39" s="5">
        <f t="shared" si="8"/>
        <v>588421.27</v>
      </c>
      <c r="AH39" s="5">
        <f t="shared" si="1"/>
        <v>588421.27</v>
      </c>
      <c r="AI39" s="5">
        <f t="shared" si="9"/>
        <v>588421.27</v>
      </c>
      <c r="AJ39" s="5">
        <f t="shared" si="10"/>
        <v>-12.21</v>
      </c>
      <c r="AK39" s="6">
        <f t="shared" si="2"/>
        <v>0</v>
      </c>
      <c r="AL39" s="5">
        <f t="shared" si="3"/>
        <v>588409.06000000006</v>
      </c>
      <c r="AM39" s="5">
        <f>SUMIF(A$2:A39,A39,AL$2:AL39)</f>
        <v>8860399.0600000005</v>
      </c>
      <c r="AN39" s="5"/>
      <c r="AO39" s="5">
        <f t="shared" si="11"/>
        <v>0</v>
      </c>
      <c r="AP39" s="5">
        <f t="shared" si="11"/>
        <v>-2939.24</v>
      </c>
      <c r="AQ39" s="5">
        <f t="shared" si="11"/>
        <v>588468.94000000006</v>
      </c>
      <c r="AR39" s="5">
        <f t="shared" si="11"/>
        <v>588468.94000000006</v>
      </c>
      <c r="AS39" s="5">
        <f t="shared" si="11"/>
        <v>588421.27</v>
      </c>
      <c r="AT39" s="5">
        <f t="shared" si="11"/>
        <v>-12.21</v>
      </c>
      <c r="AU39" s="5">
        <f t="shared" si="11"/>
        <v>47.67</v>
      </c>
      <c r="AV39" s="5">
        <f t="shared" si="11"/>
        <v>588456.7300000001</v>
      </c>
      <c r="AW39" s="5">
        <f t="shared" si="11"/>
        <v>8860399.0600000005</v>
      </c>
    </row>
    <row r="40" spans="1:49">
      <c r="A40" t="s">
        <v>72</v>
      </c>
      <c r="B40">
        <v>133</v>
      </c>
      <c r="C40" s="16">
        <v>40049</v>
      </c>
      <c r="D40" s="1" t="s">
        <v>38</v>
      </c>
      <c r="E40" t="s">
        <v>73</v>
      </c>
      <c r="F40" s="7">
        <v>-3170.37</v>
      </c>
      <c r="G40" s="7">
        <v>0</v>
      </c>
      <c r="H40" s="7">
        <v>0</v>
      </c>
      <c r="I40" s="7">
        <v>0</v>
      </c>
      <c r="J40" s="7">
        <v>-6.77</v>
      </c>
      <c r="K40" s="7">
        <v>0</v>
      </c>
      <c r="L40" s="7">
        <v>0</v>
      </c>
      <c r="M40" s="7">
        <v>0</v>
      </c>
      <c r="N40" s="7">
        <v>-3177.14</v>
      </c>
      <c r="O40" s="7">
        <v>217</v>
      </c>
      <c r="P40" s="7">
        <v>14.44</v>
      </c>
      <c r="Q40" s="7">
        <v>217</v>
      </c>
      <c r="R40" s="7">
        <v>3177.14</v>
      </c>
      <c r="S40" s="7">
        <v>0</v>
      </c>
      <c r="T40" s="7">
        <v>3133.48</v>
      </c>
      <c r="U40" s="7">
        <v>-43.659999999999798</v>
      </c>
      <c r="V40" s="7">
        <v>-43.659999999999798</v>
      </c>
      <c r="W40" s="7">
        <v>0</v>
      </c>
      <c r="X40" s="7">
        <v>0</v>
      </c>
      <c r="Y40" s="7">
        <v>-43.659999999999798</v>
      </c>
      <c r="Z40" s="7">
        <v>-43.659999999999798</v>
      </c>
      <c r="AD40" s="5">
        <f t="shared" si="5"/>
        <v>3177.14</v>
      </c>
      <c r="AE40" s="5">
        <f t="shared" si="6"/>
        <v>0</v>
      </c>
      <c r="AF40" s="5">
        <f t="shared" si="7"/>
        <v>0</v>
      </c>
      <c r="AG40" s="5">
        <f t="shared" si="8"/>
        <v>689439.38</v>
      </c>
      <c r="AH40" s="5">
        <f t="shared" si="1"/>
        <v>689439.38</v>
      </c>
      <c r="AI40" s="5">
        <f t="shared" si="9"/>
        <v>689439.38</v>
      </c>
      <c r="AJ40" s="5">
        <f t="shared" si="10"/>
        <v>-6.77</v>
      </c>
      <c r="AK40" s="6">
        <f t="shared" si="2"/>
        <v>0</v>
      </c>
      <c r="AL40" s="5">
        <f t="shared" si="3"/>
        <v>689432.61</v>
      </c>
      <c r="AM40" s="5">
        <f>SUMIF(A$2:A40,A40,AL$2:AL40)</f>
        <v>689432.61</v>
      </c>
      <c r="AN40" s="5"/>
      <c r="AO40" s="5">
        <f t="shared" si="11"/>
        <v>0</v>
      </c>
      <c r="AP40" s="5">
        <f t="shared" si="11"/>
        <v>-3133.48</v>
      </c>
      <c r="AQ40" s="5">
        <f t="shared" si="11"/>
        <v>689483.04</v>
      </c>
      <c r="AR40" s="5">
        <f t="shared" si="11"/>
        <v>689483.04</v>
      </c>
      <c r="AS40" s="5">
        <f t="shared" si="11"/>
        <v>689439.38</v>
      </c>
      <c r="AT40" s="5">
        <f t="shared" si="11"/>
        <v>-6.77</v>
      </c>
      <c r="AU40" s="5">
        <f t="shared" si="11"/>
        <v>43.659999999999798</v>
      </c>
      <c r="AV40" s="5">
        <f t="shared" si="11"/>
        <v>689476.27</v>
      </c>
      <c r="AW40" s="5">
        <f t="shared" si="11"/>
        <v>689432.61</v>
      </c>
    </row>
    <row r="41" spans="1:49">
      <c r="A41" t="s">
        <v>72</v>
      </c>
      <c r="B41">
        <v>135</v>
      </c>
      <c r="C41" s="16">
        <v>40074</v>
      </c>
      <c r="D41" s="1" t="s">
        <v>41</v>
      </c>
      <c r="F41" s="7">
        <v>0</v>
      </c>
      <c r="G41" s="7">
        <v>0</v>
      </c>
      <c r="H41" s="7">
        <v>0</v>
      </c>
      <c r="I41" s="7">
        <v>0</v>
      </c>
      <c r="J41" s="7">
        <v>0</v>
      </c>
      <c r="K41" s="7">
        <v>10.199999999999999</v>
      </c>
      <c r="L41" s="7">
        <v>0</v>
      </c>
      <c r="M41" s="7">
        <v>0</v>
      </c>
      <c r="N41" s="7">
        <v>10.199999999999999</v>
      </c>
      <c r="O41" s="7">
        <v>0</v>
      </c>
      <c r="P41" s="7">
        <v>15.14</v>
      </c>
      <c r="Q41" s="7">
        <v>217</v>
      </c>
      <c r="R41" s="7">
        <v>3177.14</v>
      </c>
      <c r="S41" s="7">
        <v>0</v>
      </c>
      <c r="T41" s="7">
        <v>3285.38</v>
      </c>
      <c r="U41" s="7">
        <v>108.24</v>
      </c>
      <c r="V41" s="7">
        <v>151.9</v>
      </c>
      <c r="W41" s="7">
        <v>0</v>
      </c>
      <c r="X41" s="7">
        <v>10.199999999999999</v>
      </c>
      <c r="Y41" s="7">
        <v>162.1</v>
      </c>
      <c r="Z41" s="7">
        <v>118.44</v>
      </c>
      <c r="AD41" s="5">
        <f t="shared" si="5"/>
        <v>3177.14</v>
      </c>
      <c r="AE41" s="5">
        <f t="shared" si="6"/>
        <v>-10.199999999999999</v>
      </c>
      <c r="AF41" s="5">
        <f t="shared" si="7"/>
        <v>0</v>
      </c>
      <c r="AG41" s="5">
        <f t="shared" si="8"/>
        <v>689439.38</v>
      </c>
      <c r="AH41" s="5">
        <f t="shared" si="1"/>
        <v>689449.58</v>
      </c>
      <c r="AI41" s="5">
        <f t="shared" si="9"/>
        <v>10.199999999953434</v>
      </c>
      <c r="AJ41" s="5">
        <f t="shared" si="10"/>
        <v>0</v>
      </c>
      <c r="AK41" s="6">
        <f t="shared" si="2"/>
        <v>0</v>
      </c>
      <c r="AL41" s="5">
        <f t="shared" si="3"/>
        <v>10.199999999953434</v>
      </c>
      <c r="AM41" s="5">
        <f>SUMIF(A$2:A41,A41,AL$2:AL41)</f>
        <v>689442.80999999994</v>
      </c>
      <c r="AN41" s="5"/>
      <c r="AO41" s="5">
        <f t="shared" si="11"/>
        <v>-10.199999999999999</v>
      </c>
      <c r="AP41" s="5">
        <f t="shared" si="11"/>
        <v>-3285.38</v>
      </c>
      <c r="AQ41" s="5">
        <f t="shared" si="11"/>
        <v>689331.14</v>
      </c>
      <c r="AR41" s="5">
        <f t="shared" si="11"/>
        <v>689297.67999999993</v>
      </c>
      <c r="AS41" s="5">
        <f t="shared" si="11"/>
        <v>10.199999999953434</v>
      </c>
      <c r="AT41" s="5">
        <f t="shared" si="11"/>
        <v>-10.199999999999999</v>
      </c>
      <c r="AU41" s="5">
        <f t="shared" si="11"/>
        <v>-162.1</v>
      </c>
      <c r="AV41" s="5">
        <f t="shared" si="11"/>
        <v>-108.24000000004656</v>
      </c>
      <c r="AW41" s="5">
        <f t="shared" si="11"/>
        <v>689442.80999999994</v>
      </c>
    </row>
    <row r="42" spans="1:49">
      <c r="A42" t="s">
        <v>72</v>
      </c>
      <c r="B42">
        <v>138</v>
      </c>
      <c r="C42" s="16">
        <v>40165</v>
      </c>
      <c r="D42" s="1" t="s">
        <v>41</v>
      </c>
      <c r="F42" s="7">
        <v>0</v>
      </c>
      <c r="G42" s="7">
        <v>0</v>
      </c>
      <c r="H42" s="7">
        <v>0</v>
      </c>
      <c r="I42" s="7">
        <v>0</v>
      </c>
      <c r="J42" s="7">
        <v>0</v>
      </c>
      <c r="K42" s="7">
        <v>11.28</v>
      </c>
      <c r="L42" s="7">
        <v>0</v>
      </c>
      <c r="M42" s="7">
        <v>0</v>
      </c>
      <c r="N42" s="7">
        <v>11.28</v>
      </c>
      <c r="O42" s="7">
        <v>0</v>
      </c>
      <c r="P42" s="7">
        <v>14.22</v>
      </c>
      <c r="Q42" s="7">
        <v>217</v>
      </c>
      <c r="R42" s="7">
        <v>3177.14</v>
      </c>
      <c r="S42" s="7">
        <v>0</v>
      </c>
      <c r="T42" s="7">
        <v>3085.74</v>
      </c>
      <c r="U42" s="7">
        <v>-91.399999999999594</v>
      </c>
      <c r="V42" s="7">
        <v>-199.64</v>
      </c>
      <c r="W42" s="7">
        <v>0</v>
      </c>
      <c r="X42" s="7">
        <v>11.28</v>
      </c>
      <c r="Y42" s="7">
        <v>-188.36</v>
      </c>
      <c r="Z42" s="7">
        <v>-69.919999999999604</v>
      </c>
      <c r="AD42" s="5">
        <f t="shared" si="5"/>
        <v>3177.14</v>
      </c>
      <c r="AE42" s="5">
        <f t="shared" si="6"/>
        <v>-21.479999999999997</v>
      </c>
      <c r="AF42" s="5">
        <f t="shared" si="7"/>
        <v>0</v>
      </c>
      <c r="AG42" s="5">
        <f t="shared" si="8"/>
        <v>689439.38</v>
      </c>
      <c r="AH42" s="5">
        <f t="shared" si="1"/>
        <v>689460.86</v>
      </c>
      <c r="AI42" s="5">
        <f t="shared" si="9"/>
        <v>11.28000000002794</v>
      </c>
      <c r="AJ42" s="5">
        <f t="shared" si="10"/>
        <v>0</v>
      </c>
      <c r="AK42" s="6">
        <f t="shared" si="2"/>
        <v>0</v>
      </c>
      <c r="AL42" s="5">
        <f t="shared" si="3"/>
        <v>11.28000000002794</v>
      </c>
      <c r="AM42" s="5">
        <f>SUMIF(A$2:A42,A42,AL$2:AL42)</f>
        <v>689454.09</v>
      </c>
      <c r="AN42" s="5"/>
      <c r="AO42" s="5">
        <f t="shared" si="11"/>
        <v>-21.479999999999997</v>
      </c>
      <c r="AP42" s="5">
        <f t="shared" si="11"/>
        <v>-3085.74</v>
      </c>
      <c r="AQ42" s="5">
        <f t="shared" si="11"/>
        <v>689530.78</v>
      </c>
      <c r="AR42" s="5">
        <f t="shared" si="11"/>
        <v>689660.5</v>
      </c>
      <c r="AS42" s="5">
        <f t="shared" si="11"/>
        <v>11.28000000002794</v>
      </c>
      <c r="AT42" s="5">
        <f t="shared" si="11"/>
        <v>-11.28</v>
      </c>
      <c r="AU42" s="5">
        <f t="shared" si="11"/>
        <v>188.36</v>
      </c>
      <c r="AV42" s="5">
        <f t="shared" si="11"/>
        <v>81.200000000027543</v>
      </c>
      <c r="AW42" s="5">
        <f t="shared" si="11"/>
        <v>689454.09</v>
      </c>
    </row>
    <row r="43" spans="1:49">
      <c r="A43" t="s">
        <v>72</v>
      </c>
      <c r="B43">
        <v>141</v>
      </c>
      <c r="C43" s="16">
        <v>40273</v>
      </c>
      <c r="D43" s="1" t="s">
        <v>45</v>
      </c>
      <c r="E43" t="s">
        <v>74</v>
      </c>
      <c r="F43" s="7">
        <v>0</v>
      </c>
      <c r="G43" s="7">
        <v>3526.25</v>
      </c>
      <c r="H43" s="7">
        <v>0</v>
      </c>
      <c r="I43" s="7">
        <v>0</v>
      </c>
      <c r="J43" s="7">
        <v>-19.04</v>
      </c>
      <c r="K43" s="7">
        <v>0</v>
      </c>
      <c r="L43" s="7">
        <v>0</v>
      </c>
      <c r="M43" s="7">
        <v>0</v>
      </c>
      <c r="N43" s="7">
        <v>3507.21</v>
      </c>
      <c r="O43" s="7">
        <v>-217</v>
      </c>
      <c r="P43" s="7">
        <v>16.239999999999998</v>
      </c>
      <c r="Q43" s="7">
        <v>0</v>
      </c>
      <c r="R43" s="7">
        <v>0</v>
      </c>
      <c r="S43" s="7">
        <v>0</v>
      </c>
      <c r="T43" s="7">
        <v>0</v>
      </c>
      <c r="U43" s="7">
        <v>0</v>
      </c>
      <c r="V43" s="7">
        <v>0</v>
      </c>
      <c r="W43" s="7">
        <v>330.07</v>
      </c>
      <c r="X43" s="7">
        <v>0</v>
      </c>
      <c r="Y43" s="7">
        <v>330.07</v>
      </c>
      <c r="Z43" s="7">
        <v>351.55</v>
      </c>
      <c r="AD43" s="5">
        <f t="shared" si="5"/>
        <v>0</v>
      </c>
      <c r="AE43" s="5">
        <f t="shared" si="6"/>
        <v>0</v>
      </c>
      <c r="AF43" s="5">
        <f t="shared" si="7"/>
        <v>0</v>
      </c>
      <c r="AG43" s="5">
        <f t="shared" si="8"/>
        <v>0</v>
      </c>
      <c r="AH43" s="5">
        <f t="shared" si="1"/>
        <v>0</v>
      </c>
      <c r="AI43" s="5">
        <f t="shared" si="9"/>
        <v>-689460.86</v>
      </c>
      <c r="AJ43" s="5">
        <f t="shared" si="10"/>
        <v>-19.04</v>
      </c>
      <c r="AK43" s="6">
        <f t="shared" si="2"/>
        <v>0</v>
      </c>
      <c r="AL43" s="5">
        <f t="shared" si="3"/>
        <v>-689479.9</v>
      </c>
      <c r="AM43" s="5">
        <f>SUMIF(A$2:A43,A43,AL$2:AL43)</f>
        <v>-25.810000000055879</v>
      </c>
      <c r="AN43" s="5"/>
      <c r="AO43" s="5">
        <f t="shared" si="11"/>
        <v>0</v>
      </c>
      <c r="AP43" s="5">
        <f t="shared" si="11"/>
        <v>0</v>
      </c>
      <c r="AQ43" s="5">
        <f t="shared" si="11"/>
        <v>0</v>
      </c>
      <c r="AR43" s="5">
        <f t="shared" si="11"/>
        <v>0</v>
      </c>
      <c r="AS43" s="5">
        <f t="shared" si="11"/>
        <v>-689790.92999999993</v>
      </c>
      <c r="AT43" s="5">
        <f t="shared" si="11"/>
        <v>-19.04</v>
      </c>
      <c r="AU43" s="5">
        <f t="shared" si="11"/>
        <v>-330.07</v>
      </c>
      <c r="AV43" s="5">
        <f t="shared" si="11"/>
        <v>-689831.45000000007</v>
      </c>
      <c r="AW43" s="5">
        <f t="shared" si="11"/>
        <v>-25.810000000055879</v>
      </c>
    </row>
    <row r="44" spans="1:49">
      <c r="AD44" s="5"/>
      <c r="AE44" s="5"/>
      <c r="AF44" s="5"/>
      <c r="AG44" s="5"/>
      <c r="AH44" s="5"/>
      <c r="AI44" s="5"/>
      <c r="AJ44" s="5"/>
      <c r="AK44" s="6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</row>
    <row r="45" spans="1:49">
      <c r="AD45" s="5"/>
      <c r="AE45" s="5"/>
      <c r="AF45" s="5"/>
      <c r="AG45" s="5"/>
      <c r="AH45" s="5"/>
      <c r="AI45" s="5"/>
      <c r="AJ45" s="5"/>
      <c r="AK45" s="6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</row>
    <row r="46" spans="1:49">
      <c r="AD46" s="5"/>
      <c r="AE46" s="5"/>
      <c r="AF46" s="5"/>
      <c r="AG46" s="5"/>
      <c r="AH46" s="5"/>
      <c r="AI46" s="5"/>
      <c r="AJ46" s="5"/>
      <c r="AK46" s="6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</row>
    <row r="47" spans="1:49">
      <c r="AD47" s="5"/>
      <c r="AE47" s="5"/>
      <c r="AF47" s="5"/>
      <c r="AG47" s="5"/>
      <c r="AH47" s="5"/>
      <c r="AI47" s="5"/>
      <c r="AJ47" s="5"/>
      <c r="AK47" s="6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</row>
    <row r="48" spans="1:49">
      <c r="AD48" s="5"/>
      <c r="AE48" s="5"/>
      <c r="AF48" s="5"/>
      <c r="AG48" s="5"/>
      <c r="AH48" s="5"/>
      <c r="AI48" s="5"/>
      <c r="AJ48" s="5"/>
      <c r="AK48" s="6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</row>
    <row r="49" spans="29:49">
      <c r="AD49" s="5"/>
      <c r="AE49" s="5"/>
      <c r="AF49" s="5"/>
      <c r="AG49" s="5"/>
      <c r="AH49" s="5"/>
      <c r="AI49" s="5"/>
      <c r="AJ49" s="5"/>
      <c r="AK49" s="6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</row>
    <row r="50" spans="29:49">
      <c r="AD50" s="5"/>
      <c r="AE50" s="5"/>
      <c r="AF50" s="5"/>
      <c r="AG50" s="5"/>
      <c r="AH50" s="5"/>
      <c r="AI50" s="5"/>
      <c r="AJ50" s="5"/>
      <c r="AK50" s="6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</row>
    <row r="51" spans="29:49">
      <c r="AD51" s="5"/>
      <c r="AE51" s="5"/>
      <c r="AF51" s="5"/>
      <c r="AG51" s="5"/>
      <c r="AH51" s="5"/>
      <c r="AI51" s="5"/>
      <c r="AJ51" s="5"/>
      <c r="AK51" s="6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</row>
    <row r="52" spans="29:49">
      <c r="AD52" s="5"/>
      <c r="AE52" s="5"/>
      <c r="AF52" s="5"/>
      <c r="AG52" s="5"/>
      <c r="AH52" s="5"/>
      <c r="AI52" s="5"/>
      <c r="AJ52" s="5"/>
      <c r="AK52" s="6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</row>
    <row r="53" spans="29:49">
      <c r="AD53" s="5"/>
      <c r="AF53" s="5"/>
      <c r="AG53" s="5"/>
      <c r="AH53" s="5"/>
      <c r="AI53" s="5"/>
      <c r="AJ53" s="5"/>
      <c r="AK53" s="6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</row>
    <row r="54" spans="29:49">
      <c r="AD54" s="5">
        <f>+I47</f>
        <v>0</v>
      </c>
      <c r="AE54" s="5"/>
      <c r="AF54" s="5" t="s">
        <v>85</v>
      </c>
      <c r="AH54" s="5">
        <v>0</v>
      </c>
      <c r="AI54" s="5"/>
      <c r="AJ54" s="5"/>
      <c r="AK54" s="6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</row>
    <row r="55" spans="29:49">
      <c r="AD55" s="5">
        <f>+-T55</f>
        <v>0</v>
      </c>
      <c r="AE55" s="5"/>
      <c r="AF55" s="5" t="s">
        <v>86</v>
      </c>
      <c r="AG55" s="5"/>
      <c r="AH55" s="5">
        <f>+-Z56</f>
        <v>0</v>
      </c>
      <c r="AI55" s="5"/>
      <c r="AJ55" s="5"/>
      <c r="AK55" s="6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</row>
    <row r="56" spans="29:49">
      <c r="AD56" s="5">
        <f>+AD54+AD55</f>
        <v>0</v>
      </c>
      <c r="AE56" s="5"/>
      <c r="AF56" s="5" t="s">
        <v>87</v>
      </c>
      <c r="AG56" s="5"/>
      <c r="AH56" s="5">
        <f>-(M52-G47)*(N47-H47)</f>
        <v>0</v>
      </c>
      <c r="AI56" s="5"/>
      <c r="AJ56" s="5"/>
      <c r="AK56" s="6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</row>
    <row r="57" spans="29:49">
      <c r="AD57" s="5"/>
      <c r="AE57" s="5"/>
      <c r="AF57" s="5" t="s">
        <v>88</v>
      </c>
      <c r="AG57" s="5"/>
      <c r="AH57" s="5"/>
      <c r="AI57" s="5"/>
      <c r="AJ57" s="5"/>
      <c r="AK57" s="6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</row>
    <row r="58" spans="29:49">
      <c r="AD58" s="5"/>
      <c r="AE58" s="5"/>
      <c r="AF58" s="5"/>
      <c r="AG58" s="5"/>
      <c r="AH58" s="5"/>
      <c r="AI58" s="5"/>
      <c r="AJ58" s="5"/>
      <c r="AK58" s="6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</row>
    <row r="59" spans="29:49">
      <c r="AC59">
        <v>0</v>
      </c>
      <c r="AD59" s="5"/>
      <c r="AE59" s="5"/>
      <c r="AF59" s="5"/>
      <c r="AG59" s="5"/>
      <c r="AH59" s="5"/>
      <c r="AI59" s="5"/>
      <c r="AJ59" s="5"/>
      <c r="AK59" s="6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</row>
    <row r="60" spans="29:49">
      <c r="AC60">
        <f>+-Z56</f>
        <v>0</v>
      </c>
      <c r="AD60" s="5"/>
      <c r="AE60" s="5"/>
      <c r="AF60" s="5"/>
      <c r="AG60" s="5"/>
      <c r="AH60" s="5"/>
      <c r="AI60" s="5"/>
      <c r="AJ60" s="5"/>
      <c r="AK60" s="6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</row>
    <row r="61" spans="29:49">
      <c r="AC61" s="7">
        <f>+-AD55</f>
        <v>0</v>
      </c>
      <c r="AD61" s="5"/>
      <c r="AE61" s="5"/>
      <c r="AF61" s="5"/>
      <c r="AG61" s="5"/>
      <c r="AH61" s="5"/>
      <c r="AI61" s="5"/>
      <c r="AJ61" s="5"/>
      <c r="AK61" s="6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</row>
    <row r="62" spans="29:49">
      <c r="AC62" s="7">
        <f>+AH56</f>
        <v>0</v>
      </c>
      <c r="AD62" s="5"/>
      <c r="AE62" s="5"/>
      <c r="AF62" s="5"/>
      <c r="AG62" s="5"/>
      <c r="AH62" s="5"/>
      <c r="AI62" s="5"/>
      <c r="AJ62" s="5"/>
      <c r="AK62" s="6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</row>
    <row r="63" spans="29:49">
      <c r="AC63" s="7">
        <f>+SUM(AC60:AC62)</f>
        <v>0</v>
      </c>
      <c r="AD63" s="5"/>
      <c r="AE63" s="5"/>
      <c r="AF63" s="5"/>
      <c r="AG63" s="5"/>
      <c r="AH63" s="5"/>
      <c r="AI63" s="5"/>
      <c r="AJ63" s="5"/>
      <c r="AK63" s="6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</row>
    <row r="64" spans="29:49">
      <c r="AD64" s="5"/>
      <c r="AE64" s="5"/>
      <c r="AF64" s="5"/>
      <c r="AG64" s="5"/>
      <c r="AH64" s="5"/>
      <c r="AI64" s="5"/>
      <c r="AJ64" s="5"/>
      <c r="AK64" s="6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</row>
    <row r="65" spans="30:49">
      <c r="AD65" s="5"/>
      <c r="AE65" s="5"/>
      <c r="AF65" s="5"/>
      <c r="AG65" s="5"/>
      <c r="AH65" s="5"/>
      <c r="AI65" s="5"/>
      <c r="AJ65" s="5"/>
      <c r="AK65" s="6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</row>
    <row r="66" spans="30:49">
      <c r="AD66" s="5"/>
      <c r="AE66" s="5"/>
      <c r="AF66" s="5"/>
      <c r="AG66" s="5"/>
      <c r="AH66" s="5"/>
      <c r="AI66" s="5"/>
      <c r="AJ66" s="5"/>
      <c r="AK66" s="6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</row>
    <row r="67" spans="30:49">
      <c r="AD67" s="5"/>
      <c r="AE67" s="5"/>
      <c r="AF67" s="5"/>
      <c r="AG67" s="5"/>
      <c r="AH67" s="5"/>
      <c r="AI67" s="5"/>
      <c r="AJ67" s="5"/>
      <c r="AK67" s="6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</row>
    <row r="68" spans="30:49">
      <c r="AD68" s="5"/>
      <c r="AE68" s="5"/>
      <c r="AF68" s="5"/>
      <c r="AG68" s="5"/>
      <c r="AH68" s="5"/>
      <c r="AI68" s="5"/>
      <c r="AJ68" s="5"/>
      <c r="AK68" s="6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</row>
    <row r="69" spans="30:49">
      <c r="AD69" s="5"/>
      <c r="AE69" s="5"/>
      <c r="AF69" s="5"/>
      <c r="AG69" s="5"/>
      <c r="AH69" s="5"/>
      <c r="AI69" s="5"/>
      <c r="AJ69" s="5"/>
      <c r="AK69" s="6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</row>
    <row r="70" spans="30:49">
      <c r="AD70" s="5"/>
      <c r="AE70" s="5"/>
      <c r="AF70" s="5"/>
      <c r="AG70" s="5"/>
      <c r="AH70" s="5"/>
      <c r="AI70" s="5"/>
      <c r="AJ70" s="5"/>
      <c r="AK70" s="6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</row>
    <row r="71" spans="30:49">
      <c r="AD71" s="5"/>
      <c r="AE71" s="5"/>
      <c r="AF71" s="5"/>
      <c r="AG71" s="5"/>
      <c r="AH71" s="5"/>
      <c r="AI71" s="5"/>
      <c r="AJ71" s="5"/>
      <c r="AK71" s="6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</row>
    <row r="72" spans="30:49">
      <c r="AD72" s="5"/>
      <c r="AE72" s="5"/>
      <c r="AF72" s="5"/>
      <c r="AG72" s="5"/>
      <c r="AH72" s="5"/>
      <c r="AI72" s="5"/>
      <c r="AJ72" s="5"/>
      <c r="AK72" s="6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</row>
    <row r="73" spans="30:49">
      <c r="AD73" s="5"/>
      <c r="AE73" s="5"/>
      <c r="AF73" s="5"/>
      <c r="AG73" s="5"/>
      <c r="AH73" s="5"/>
      <c r="AI73" s="5"/>
      <c r="AJ73" s="5"/>
      <c r="AK73" s="6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</row>
    <row r="74" spans="30:49">
      <c r="AD74" s="5"/>
      <c r="AE74" s="5"/>
      <c r="AF74" s="5"/>
      <c r="AG74" s="5"/>
      <c r="AH74" s="5"/>
      <c r="AI74" s="5"/>
      <c r="AJ74" s="5"/>
      <c r="AK74" s="6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</row>
    <row r="75" spans="30:49">
      <c r="AD75" s="5"/>
      <c r="AE75" s="5"/>
      <c r="AF75" s="5"/>
      <c r="AG75" s="5"/>
      <c r="AH75" s="5"/>
      <c r="AI75" s="5"/>
      <c r="AJ75" s="5"/>
      <c r="AK75" s="6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D67"/>
  <sheetViews>
    <sheetView zoomScale="85" zoomScaleNormal="85" workbookViewId="0">
      <selection activeCell="C13" sqref="C13"/>
    </sheetView>
  </sheetViews>
  <sheetFormatPr defaultRowHeight="15"/>
  <cols>
    <col min="3" max="3" width="12" bestFit="1" customWidth="1"/>
    <col min="4" max="4" width="10.28515625" bestFit="1" customWidth="1"/>
    <col min="6" max="6" width="14.85546875" customWidth="1"/>
    <col min="7" max="7" width="11.140625" customWidth="1"/>
    <col min="8" max="8" width="10.5703125" bestFit="1" customWidth="1"/>
    <col min="17" max="17" width="9.42578125" customWidth="1"/>
    <col min="18" max="18" width="9.5703125" bestFit="1" customWidth="1"/>
  </cols>
  <sheetData>
    <row r="1" spans="1:56">
      <c r="A1" s="9" t="s">
        <v>116</v>
      </c>
      <c r="X1" s="5"/>
      <c r="Y1" s="5"/>
      <c r="Z1" s="5"/>
      <c r="AA1" s="5"/>
      <c r="AB1" s="5"/>
      <c r="AC1" s="5"/>
      <c r="AD1" s="5"/>
      <c r="AU1" s="6"/>
      <c r="AV1" s="5"/>
      <c r="AW1" s="5"/>
      <c r="AX1" s="5"/>
      <c r="AY1" s="5"/>
      <c r="AZ1" s="5"/>
      <c r="BA1" s="5"/>
      <c r="BB1" s="5"/>
      <c r="BC1" s="5"/>
      <c r="BD1" s="5"/>
    </row>
    <row r="2" spans="1:56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L2" t="s">
        <v>11</v>
      </c>
      <c r="M2" t="s">
        <v>12</v>
      </c>
      <c r="N2" t="s">
        <v>13</v>
      </c>
      <c r="O2" t="s">
        <v>14</v>
      </c>
      <c r="P2" t="s">
        <v>15</v>
      </c>
      <c r="Q2" t="s">
        <v>16</v>
      </c>
      <c r="R2" t="s">
        <v>17</v>
      </c>
      <c r="S2" t="s">
        <v>18</v>
      </c>
      <c r="T2" t="s">
        <v>19</v>
      </c>
      <c r="U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s="5"/>
      <c r="AC2" s="5"/>
      <c r="AD2" s="5"/>
      <c r="AU2" s="6"/>
      <c r="AV2" s="5"/>
      <c r="AW2" s="5"/>
      <c r="AX2" s="5"/>
      <c r="AY2" s="5"/>
      <c r="AZ2" s="5"/>
      <c r="BA2" s="5"/>
      <c r="BB2" s="5"/>
      <c r="BC2" s="5"/>
      <c r="BD2" s="5"/>
    </row>
    <row r="3" spans="1:56">
      <c r="A3" t="s">
        <v>27</v>
      </c>
      <c r="B3" t="s">
        <v>37</v>
      </c>
      <c r="C3">
        <v>20</v>
      </c>
      <c r="D3">
        <v>40211</v>
      </c>
      <c r="E3" t="s">
        <v>38</v>
      </c>
      <c r="F3" t="s">
        <v>39</v>
      </c>
      <c r="G3">
        <v>-3780</v>
      </c>
      <c r="H3">
        <v>0</v>
      </c>
      <c r="I3">
        <v>0</v>
      </c>
      <c r="J3">
        <v>0</v>
      </c>
      <c r="K3">
        <v>-17</v>
      </c>
      <c r="L3">
        <v>0</v>
      </c>
      <c r="M3">
        <v>0</v>
      </c>
      <c r="N3">
        <v>0</v>
      </c>
      <c r="O3">
        <v>-3797</v>
      </c>
      <c r="P3">
        <v>112</v>
      </c>
      <c r="Q3">
        <v>35.339997278820199</v>
      </c>
      <c r="R3">
        <v>112</v>
      </c>
      <c r="S3">
        <v>3797</v>
      </c>
      <c r="T3">
        <v>0</v>
      </c>
      <c r="U3">
        <v>3958.0796952278602</v>
      </c>
      <c r="V3">
        <v>161.079695227863</v>
      </c>
      <c r="W3">
        <v>161.079695227863</v>
      </c>
      <c r="X3">
        <v>0</v>
      </c>
      <c r="Y3">
        <v>0</v>
      </c>
      <c r="Z3">
        <v>161.079695227863</v>
      </c>
      <c r="AA3">
        <v>161.079695227863</v>
      </c>
      <c r="AB3" s="5"/>
      <c r="AC3" s="5"/>
      <c r="AD3" s="5"/>
      <c r="AU3" s="6"/>
      <c r="AV3" s="5"/>
      <c r="AW3" s="5"/>
      <c r="AX3" s="5"/>
      <c r="AY3" s="5"/>
      <c r="AZ3" s="5"/>
      <c r="BA3" s="5"/>
      <c r="BB3" s="5"/>
      <c r="BC3" s="5"/>
      <c r="BD3" s="5"/>
    </row>
    <row r="4" spans="1:56">
      <c r="A4" t="s">
        <v>27</v>
      </c>
      <c r="B4" t="s">
        <v>37</v>
      </c>
      <c r="C4">
        <v>18</v>
      </c>
      <c r="D4">
        <v>40252</v>
      </c>
      <c r="E4" t="s">
        <v>38</v>
      </c>
      <c r="F4" t="s">
        <v>40</v>
      </c>
      <c r="G4">
        <v>-1710</v>
      </c>
      <c r="H4">
        <v>0</v>
      </c>
      <c r="I4">
        <v>0</v>
      </c>
      <c r="J4">
        <v>0</v>
      </c>
      <c r="K4">
        <v>-10</v>
      </c>
      <c r="L4">
        <v>0</v>
      </c>
      <c r="M4">
        <v>0</v>
      </c>
      <c r="N4">
        <v>0</v>
      </c>
      <c r="O4">
        <v>-1720</v>
      </c>
      <c r="P4">
        <v>60</v>
      </c>
      <c r="Q4">
        <v>28.330000308797</v>
      </c>
      <c r="R4">
        <v>228</v>
      </c>
      <c r="S4">
        <v>5517</v>
      </c>
      <c r="T4">
        <v>0</v>
      </c>
      <c r="U4">
        <v>6459.24007040571</v>
      </c>
      <c r="V4">
        <v>942.24007040571701</v>
      </c>
      <c r="W4">
        <v>781.16037517785298</v>
      </c>
      <c r="X4">
        <v>0</v>
      </c>
      <c r="Y4">
        <v>0</v>
      </c>
      <c r="Z4">
        <v>781.16037517785298</v>
      </c>
      <c r="AA4">
        <v>942.24007040571701</v>
      </c>
      <c r="AB4" s="5"/>
      <c r="AC4" s="5"/>
      <c r="AD4" s="5"/>
      <c r="AU4" s="6"/>
      <c r="AV4" s="5"/>
      <c r="AW4" s="5"/>
      <c r="AX4" s="5"/>
      <c r="AY4" s="5"/>
      <c r="AZ4" s="5"/>
      <c r="BA4" s="5"/>
      <c r="BB4" s="5"/>
      <c r="BC4" s="5"/>
      <c r="BD4" s="5"/>
    </row>
    <row r="5" spans="1:56">
      <c r="A5" t="s">
        <v>27</v>
      </c>
      <c r="B5" t="s">
        <v>37</v>
      </c>
      <c r="C5">
        <v>14</v>
      </c>
      <c r="D5">
        <v>40266</v>
      </c>
      <c r="E5" t="s">
        <v>41</v>
      </c>
      <c r="F5" t="s">
        <v>42</v>
      </c>
      <c r="G5">
        <v>0</v>
      </c>
      <c r="H5">
        <v>0</v>
      </c>
      <c r="I5">
        <v>0</v>
      </c>
      <c r="J5">
        <v>0</v>
      </c>
      <c r="K5">
        <v>0</v>
      </c>
      <c r="L5">
        <v>97.21</v>
      </c>
      <c r="M5">
        <v>0</v>
      </c>
      <c r="N5">
        <v>0</v>
      </c>
      <c r="O5">
        <v>97.21</v>
      </c>
      <c r="P5">
        <v>0</v>
      </c>
      <c r="Q5">
        <v>28.380001407647999</v>
      </c>
      <c r="R5">
        <v>228</v>
      </c>
      <c r="S5">
        <v>5517</v>
      </c>
      <c r="T5">
        <v>0</v>
      </c>
      <c r="U5">
        <v>6470.6403209437503</v>
      </c>
      <c r="V5">
        <v>953.64032094375898</v>
      </c>
      <c r="W5">
        <v>11.400250538042201</v>
      </c>
      <c r="X5">
        <v>0</v>
      </c>
      <c r="Y5">
        <v>97.21</v>
      </c>
      <c r="Z5">
        <v>108.610250538042</v>
      </c>
      <c r="AA5">
        <v>1050.8503209437499</v>
      </c>
      <c r="AB5" s="5"/>
      <c r="AC5" s="5"/>
      <c r="AD5" s="5"/>
      <c r="AU5" s="6"/>
      <c r="AV5" s="5"/>
      <c r="AW5" s="5"/>
      <c r="AX5" s="5"/>
      <c r="AY5" s="5"/>
      <c r="AZ5" s="5"/>
      <c r="BA5" s="5"/>
      <c r="BB5" s="5"/>
      <c r="BC5" s="5"/>
      <c r="BD5" s="5"/>
    </row>
    <row r="6" spans="1:56">
      <c r="A6" t="s">
        <v>27</v>
      </c>
      <c r="B6" t="s">
        <v>37</v>
      </c>
      <c r="C6">
        <v>6</v>
      </c>
      <c r="D6">
        <v>40276</v>
      </c>
      <c r="E6" t="s">
        <v>43</v>
      </c>
      <c r="F6" t="s">
        <v>44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-3.76</v>
      </c>
      <c r="N6">
        <v>0</v>
      </c>
      <c r="O6">
        <v>-3.76</v>
      </c>
      <c r="P6">
        <v>0</v>
      </c>
      <c r="Q6">
        <v>30.120001096368</v>
      </c>
      <c r="R6">
        <v>228</v>
      </c>
      <c r="S6">
        <v>5517</v>
      </c>
      <c r="T6">
        <v>0</v>
      </c>
      <c r="U6">
        <v>6867.36024997191</v>
      </c>
      <c r="V6">
        <v>1350.36024997191</v>
      </c>
      <c r="W6">
        <v>396.71992902815299</v>
      </c>
      <c r="X6">
        <v>0</v>
      </c>
      <c r="Y6">
        <v>-3.76</v>
      </c>
      <c r="Z6">
        <v>392.959929028153</v>
      </c>
      <c r="AA6">
        <v>1443.81024997191</v>
      </c>
      <c r="AN6" s="5"/>
      <c r="AO6" s="5"/>
      <c r="AP6" s="5"/>
      <c r="AQ6" s="5"/>
      <c r="AR6" s="5"/>
      <c r="AS6" s="5"/>
      <c r="AT6" s="5"/>
      <c r="AU6" s="6"/>
      <c r="AV6" s="5"/>
      <c r="AW6" s="5"/>
      <c r="AX6" s="5"/>
      <c r="AY6" s="5"/>
      <c r="AZ6" s="5"/>
      <c r="BA6" s="5"/>
      <c r="BB6" s="5"/>
      <c r="BC6" s="5"/>
      <c r="BD6" s="5"/>
    </row>
    <row r="7" spans="1:56">
      <c r="A7" t="s">
        <v>27</v>
      </c>
      <c r="B7" t="s">
        <v>37</v>
      </c>
      <c r="C7">
        <v>4</v>
      </c>
      <c r="D7">
        <v>40283</v>
      </c>
      <c r="E7" t="s">
        <v>45</v>
      </c>
      <c r="F7" t="s">
        <v>46</v>
      </c>
      <c r="G7">
        <v>0</v>
      </c>
      <c r="H7">
        <v>936</v>
      </c>
      <c r="I7">
        <v>0</v>
      </c>
      <c r="J7">
        <v>0</v>
      </c>
      <c r="K7">
        <v>-9</v>
      </c>
      <c r="L7">
        <v>0</v>
      </c>
      <c r="M7">
        <v>0</v>
      </c>
      <c r="N7">
        <v>0</v>
      </c>
      <c r="O7">
        <v>927</v>
      </c>
      <c r="P7">
        <v>-30</v>
      </c>
      <c r="Q7">
        <v>31.069997908989102</v>
      </c>
      <c r="R7">
        <v>198</v>
      </c>
      <c r="S7">
        <v>4791.0789473684199</v>
      </c>
      <c r="T7">
        <v>0</v>
      </c>
      <c r="U7">
        <v>6151.8595859798497</v>
      </c>
      <c r="V7">
        <v>1360.78063861142</v>
      </c>
      <c r="W7">
        <v>188.09936889897801</v>
      </c>
      <c r="X7">
        <v>201.07894736842101</v>
      </c>
      <c r="Y7">
        <v>0</v>
      </c>
      <c r="Z7">
        <v>389.178316267399</v>
      </c>
      <c r="AA7">
        <v>1655.30958597984</v>
      </c>
      <c r="AN7" s="5"/>
      <c r="AO7" s="5"/>
      <c r="AP7" s="5"/>
      <c r="AQ7" s="5"/>
      <c r="AR7" s="5"/>
      <c r="AS7" s="5"/>
      <c r="AT7" s="5"/>
      <c r="AU7" s="6"/>
      <c r="AV7" s="5"/>
      <c r="AW7" s="5"/>
      <c r="AX7" s="5"/>
      <c r="AY7" s="5"/>
      <c r="AZ7" s="5"/>
      <c r="BA7" s="5"/>
      <c r="BB7" s="5"/>
      <c r="BC7" s="5"/>
      <c r="BD7" s="5"/>
    </row>
    <row r="8" spans="1:56">
      <c r="A8" t="s">
        <v>27</v>
      </c>
      <c r="B8" t="s">
        <v>37</v>
      </c>
      <c r="C8">
        <v>115</v>
      </c>
      <c r="D8">
        <v>40296</v>
      </c>
      <c r="E8" t="s">
        <v>47</v>
      </c>
      <c r="F8" t="s">
        <v>48</v>
      </c>
      <c r="G8">
        <v>0</v>
      </c>
      <c r="H8">
        <v>332.28</v>
      </c>
      <c r="I8">
        <v>0</v>
      </c>
      <c r="J8">
        <v>0</v>
      </c>
      <c r="K8">
        <v>-3</v>
      </c>
      <c r="L8">
        <v>0</v>
      </c>
      <c r="M8">
        <v>0</v>
      </c>
      <c r="N8">
        <v>-329.28</v>
      </c>
      <c r="O8">
        <v>0</v>
      </c>
      <c r="P8">
        <v>-12</v>
      </c>
      <c r="Q8">
        <v>30.6200030068842</v>
      </c>
      <c r="R8">
        <v>186</v>
      </c>
      <c r="S8">
        <v>4500.71052631579</v>
      </c>
      <c r="T8">
        <v>0</v>
      </c>
      <c r="U8">
        <v>5695.3205592804698</v>
      </c>
      <c r="V8">
        <v>1194.6100329646799</v>
      </c>
      <c r="W8">
        <v>-83.699051791501702</v>
      </c>
      <c r="X8">
        <v>38.911578947368298</v>
      </c>
      <c r="Y8">
        <v>0</v>
      </c>
      <c r="Z8">
        <v>-44.787472844133397</v>
      </c>
      <c r="AA8">
        <v>1528.05055928047</v>
      </c>
      <c r="AN8" s="5"/>
      <c r="AO8" s="5"/>
      <c r="AP8" s="5"/>
      <c r="AQ8" s="5"/>
      <c r="AR8" s="5"/>
      <c r="AS8" s="5"/>
      <c r="AT8" s="5"/>
      <c r="AU8" s="6"/>
      <c r="AV8" s="5"/>
      <c r="AW8" s="5"/>
      <c r="AX8" s="5"/>
      <c r="AY8" s="5"/>
      <c r="AZ8" s="5"/>
      <c r="BA8" s="5"/>
      <c r="BB8" s="5"/>
      <c r="BC8" s="5"/>
      <c r="BD8" s="5"/>
    </row>
    <row r="9" spans="1:56">
      <c r="A9" t="s">
        <v>27</v>
      </c>
      <c r="B9" t="s">
        <v>37</v>
      </c>
      <c r="C9">
        <v>126</v>
      </c>
      <c r="D9">
        <v>40312</v>
      </c>
      <c r="E9" t="s">
        <v>45</v>
      </c>
      <c r="F9" t="s">
        <v>49</v>
      </c>
      <c r="G9">
        <v>0</v>
      </c>
      <c r="H9">
        <v>2457.06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2457.06</v>
      </c>
      <c r="P9">
        <v>-186</v>
      </c>
      <c r="Q9">
        <v>27.48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-2043.6505263157901</v>
      </c>
      <c r="Y9">
        <v>0</v>
      </c>
      <c r="Z9">
        <v>-2043.6505263157901</v>
      </c>
      <c r="AA9">
        <v>-1710.21</v>
      </c>
    </row>
    <row r="11" spans="1:56">
      <c r="A11" s="11" t="s">
        <v>117</v>
      </c>
    </row>
    <row r="13" spans="1:56">
      <c r="A13" s="9" t="s">
        <v>92</v>
      </c>
      <c r="H13" s="9" t="s">
        <v>93</v>
      </c>
      <c r="L13" s="7"/>
      <c r="N13" s="9" t="s">
        <v>75</v>
      </c>
      <c r="S13" s="9" t="s">
        <v>83</v>
      </c>
      <c r="X13" s="7">
        <v>0</v>
      </c>
    </row>
    <row r="14" spans="1:56">
      <c r="A14" t="s">
        <v>89</v>
      </c>
      <c r="F14" s="7">
        <f>+V6</f>
        <v>1350.36024997191</v>
      </c>
      <c r="G14">
        <f>+V6</f>
        <v>1350.36024997191</v>
      </c>
      <c r="H14" t="s">
        <v>94</v>
      </c>
      <c r="L14" s="10">
        <v>0</v>
      </c>
      <c r="N14" t="s">
        <v>96</v>
      </c>
      <c r="Q14" s="7">
        <f>+S6</f>
        <v>5517</v>
      </c>
      <c r="R14">
        <f>+S6</f>
        <v>5517</v>
      </c>
      <c r="S14" t="s">
        <v>98</v>
      </c>
      <c r="X14" s="7">
        <f>+-Q15</f>
        <v>725.92105263157896</v>
      </c>
    </row>
    <row r="15" spans="1:56">
      <c r="A15" t="s">
        <v>100</v>
      </c>
      <c r="F15" s="12">
        <f>+R7*(Q7-Q6)</f>
        <v>188.09936889897813</v>
      </c>
      <c r="G15" s="8">
        <f>+W7</f>
        <v>188.09936889897801</v>
      </c>
      <c r="H15" t="s">
        <v>79</v>
      </c>
      <c r="L15" s="7">
        <f>+O7+P7/(R7-P7)*S6</f>
        <v>201.07894736842104</v>
      </c>
      <c r="M15">
        <f>+X7</f>
        <v>201.07894736842101</v>
      </c>
      <c r="N15" t="s">
        <v>97</v>
      </c>
      <c r="Q15" s="7">
        <f>+P7/(R7-P7)*S6</f>
        <v>-725.92105263157896</v>
      </c>
      <c r="S15" t="s">
        <v>90</v>
      </c>
      <c r="X15" s="7">
        <f>+-F17</f>
        <v>177.67898025946184</v>
      </c>
    </row>
    <row r="16" spans="1:56">
      <c r="A16" t="s">
        <v>101</v>
      </c>
      <c r="F16" s="7">
        <f>+O7-(-P7/(R7-P7)*U6)</f>
        <v>23.399967108959231</v>
      </c>
      <c r="H16" t="s">
        <v>99</v>
      </c>
      <c r="L16" s="7">
        <f>+L14+L15</f>
        <v>201.07894736842104</v>
      </c>
      <c r="N16" t="s">
        <v>84</v>
      </c>
      <c r="Q16" s="7">
        <f>+SUM(Q14:Q15)</f>
        <v>4791.0789473684208</v>
      </c>
      <c r="R16">
        <f>+S7</f>
        <v>4791.0789473684199</v>
      </c>
      <c r="S16" t="s">
        <v>102</v>
      </c>
      <c r="X16" s="7">
        <f>+-F18</f>
        <v>23.399967108959231</v>
      </c>
    </row>
    <row r="17" spans="1:25">
      <c r="A17" t="s">
        <v>111</v>
      </c>
      <c r="F17" s="7">
        <f>+P7/(R7-P7)*V6</f>
        <v>-177.67898025946184</v>
      </c>
      <c r="G17" s="11" t="s">
        <v>104</v>
      </c>
      <c r="L17" s="7"/>
      <c r="Q17" s="7"/>
      <c r="X17" s="7">
        <f>+SUM(X13:X16)</f>
        <v>927</v>
      </c>
      <c r="Y17">
        <f>+O7</f>
        <v>927</v>
      </c>
    </row>
    <row r="18" spans="1:25">
      <c r="A18" t="s">
        <v>102</v>
      </c>
      <c r="F18" s="7">
        <f>+-F16</f>
        <v>-23.399967108959231</v>
      </c>
      <c r="L18" s="7"/>
      <c r="Q18" s="7"/>
      <c r="X18" s="7"/>
    </row>
    <row r="19" spans="1:25">
      <c r="A19" t="s">
        <v>91</v>
      </c>
      <c r="F19" s="7">
        <f>+SUM(F14:F18)</f>
        <v>1360.7806386114262</v>
      </c>
      <c r="G19">
        <f>+V7</f>
        <v>1360.78063861142</v>
      </c>
      <c r="H19" t="s">
        <v>95</v>
      </c>
      <c r="L19" s="7"/>
      <c r="Q19" s="7"/>
      <c r="X19" s="7"/>
    </row>
    <row r="20" spans="1:25">
      <c r="A20" s="11" t="s">
        <v>105</v>
      </c>
      <c r="F20" s="7"/>
      <c r="L20" s="7"/>
      <c r="Q20" s="7"/>
    </row>
    <row r="22" spans="1:25">
      <c r="A22" t="s">
        <v>103</v>
      </c>
      <c r="F22">
        <v>1.5</v>
      </c>
    </row>
    <row r="23" spans="1:25">
      <c r="A23" s="11" t="s">
        <v>118</v>
      </c>
    </row>
    <row r="24" spans="1:25">
      <c r="A24" t="s">
        <v>89</v>
      </c>
      <c r="F24" s="13">
        <f>+V3</f>
        <v>161.079695227863</v>
      </c>
    </row>
    <row r="25" spans="1:25">
      <c r="A25" t="s">
        <v>106</v>
      </c>
      <c r="F25" s="13">
        <f>+R3*F22*(Q4-Q3/F22)</f>
        <v>801.36035665003374</v>
      </c>
      <c r="G25" s="14"/>
      <c r="H25" s="7" t="s">
        <v>124</v>
      </c>
    </row>
    <row r="26" spans="1:25">
      <c r="A26" t="s">
        <v>107</v>
      </c>
      <c r="F26" s="13">
        <f>+O4+P4*Q4</f>
        <v>-20.19998147218007</v>
      </c>
      <c r="G26" s="14"/>
    </row>
    <row r="27" spans="1:25">
      <c r="A27" t="s">
        <v>108</v>
      </c>
      <c r="F27" s="13">
        <f>+F24+F25+F26</f>
        <v>942.24007040571666</v>
      </c>
    </row>
    <row r="29" spans="1:25">
      <c r="A29" s="11" t="s">
        <v>119</v>
      </c>
    </row>
    <row r="30" spans="1:25">
      <c r="A30" t="s">
        <v>89</v>
      </c>
      <c r="F30" s="13">
        <f>+V3</f>
        <v>161.079695227863</v>
      </c>
      <c r="H30" s="13"/>
    </row>
    <row r="31" spans="1:25">
      <c r="A31" t="s">
        <v>109</v>
      </c>
      <c r="F31" s="13">
        <f>+R4*(Q4-Q3/F22)</f>
        <v>1087.5604840250458</v>
      </c>
      <c r="G31" s="14"/>
      <c r="H31" s="7" t="s">
        <v>124</v>
      </c>
    </row>
    <row r="32" spans="1:25">
      <c r="A32" t="s">
        <v>110</v>
      </c>
      <c r="F32" s="13">
        <f>+(O4+P4*Q3/F22)</f>
        <v>-306.40010884719209</v>
      </c>
      <c r="G32" s="14"/>
    </row>
    <row r="33" spans="1:27">
      <c r="A33" t="s">
        <v>108</v>
      </c>
      <c r="F33" s="13">
        <f>+SUM(F30:F32)</f>
        <v>942.24007040571655</v>
      </c>
    </row>
    <row r="36" spans="1:27">
      <c r="A36" s="9" t="s">
        <v>115</v>
      </c>
    </row>
    <row r="37" spans="1:27">
      <c r="A37" t="s">
        <v>0</v>
      </c>
      <c r="B37" t="s">
        <v>1</v>
      </c>
      <c r="C37" t="s">
        <v>2</v>
      </c>
      <c r="D37" t="s">
        <v>3</v>
      </c>
      <c r="E37" t="s">
        <v>4</v>
      </c>
      <c r="F37" t="s">
        <v>5</v>
      </c>
      <c r="G37" t="s">
        <v>6</v>
      </c>
      <c r="H37" t="s">
        <v>7</v>
      </c>
      <c r="I37" t="s">
        <v>8</v>
      </c>
      <c r="J37" t="s">
        <v>9</v>
      </c>
      <c r="K37" t="s">
        <v>10</v>
      </c>
      <c r="L37" t="s">
        <v>11</v>
      </c>
      <c r="M37" t="s">
        <v>12</v>
      </c>
      <c r="N37" t="s">
        <v>13</v>
      </c>
      <c r="O37" t="s">
        <v>14</v>
      </c>
      <c r="P37" t="s">
        <v>15</v>
      </c>
      <c r="Q37" t="s">
        <v>16</v>
      </c>
      <c r="R37" t="s">
        <v>17</v>
      </c>
      <c r="S37" t="s">
        <v>18</v>
      </c>
      <c r="T37" t="s">
        <v>19</v>
      </c>
      <c r="U37" t="s">
        <v>20</v>
      </c>
      <c r="V37" t="s">
        <v>21</v>
      </c>
      <c r="W37" t="s">
        <v>22</v>
      </c>
      <c r="X37" t="s">
        <v>23</v>
      </c>
      <c r="Y37" t="s">
        <v>24</v>
      </c>
      <c r="Z37" t="s">
        <v>25</v>
      </c>
      <c r="AA37" t="s">
        <v>26</v>
      </c>
    </row>
    <row r="38" spans="1:27">
      <c r="A38" t="s">
        <v>27</v>
      </c>
      <c r="B38" t="s">
        <v>50</v>
      </c>
      <c r="C38">
        <v>89</v>
      </c>
      <c r="D38" s="1">
        <v>40219</v>
      </c>
      <c r="E38" t="s">
        <v>51</v>
      </c>
      <c r="F38" t="s">
        <v>52</v>
      </c>
      <c r="G38">
        <v>0</v>
      </c>
      <c r="H38">
        <v>0</v>
      </c>
      <c r="I38">
        <v>162.18</v>
      </c>
      <c r="J38">
        <v>0</v>
      </c>
      <c r="K38">
        <v>-11</v>
      </c>
      <c r="L38">
        <v>0</v>
      </c>
      <c r="M38">
        <v>0</v>
      </c>
      <c r="N38">
        <v>0</v>
      </c>
      <c r="O38">
        <v>151.18</v>
      </c>
      <c r="P38">
        <v>-51</v>
      </c>
      <c r="Q38">
        <v>3.2</v>
      </c>
      <c r="R38">
        <v>-51</v>
      </c>
      <c r="S38">
        <v>0</v>
      </c>
      <c r="T38">
        <v>-151.18</v>
      </c>
      <c r="U38">
        <v>-163.19999999999999</v>
      </c>
      <c r="V38">
        <v>-12.02</v>
      </c>
      <c r="W38">
        <v>-12.02</v>
      </c>
      <c r="X38">
        <v>0</v>
      </c>
      <c r="Y38">
        <v>0</v>
      </c>
      <c r="Z38">
        <v>-12.02</v>
      </c>
      <c r="AA38">
        <v>-12.02</v>
      </c>
    </row>
    <row r="39" spans="1:27">
      <c r="A39" t="s">
        <v>27</v>
      </c>
      <c r="B39" t="s">
        <v>50</v>
      </c>
      <c r="C39">
        <v>16</v>
      </c>
      <c r="D39" s="1">
        <v>40252</v>
      </c>
      <c r="E39" t="s">
        <v>51</v>
      </c>
      <c r="F39" t="s">
        <v>53</v>
      </c>
      <c r="G39">
        <v>0</v>
      </c>
      <c r="H39">
        <v>0</v>
      </c>
      <c r="I39">
        <v>304.2</v>
      </c>
      <c r="J39">
        <v>0</v>
      </c>
      <c r="K39">
        <v>-19</v>
      </c>
      <c r="L39">
        <v>0</v>
      </c>
      <c r="M39">
        <v>0</v>
      </c>
      <c r="N39">
        <v>0</v>
      </c>
      <c r="O39">
        <v>285.2</v>
      </c>
      <c r="P39">
        <v>-78</v>
      </c>
      <c r="Q39">
        <v>3.8899999809389998</v>
      </c>
      <c r="R39">
        <v>-129</v>
      </c>
      <c r="S39">
        <v>0</v>
      </c>
      <c r="T39">
        <v>-436.38</v>
      </c>
      <c r="U39">
        <v>-501.809997541131</v>
      </c>
      <c r="V39">
        <v>-65.429997541131002</v>
      </c>
      <c r="W39">
        <v>-53.409997541130998</v>
      </c>
      <c r="X39">
        <v>0</v>
      </c>
      <c r="Y39">
        <v>0</v>
      </c>
      <c r="Z39">
        <v>-53.409997541130998</v>
      </c>
      <c r="AA39">
        <v>-65.429997541131002</v>
      </c>
    </row>
    <row r="40" spans="1:27">
      <c r="A40" t="s">
        <v>27</v>
      </c>
      <c r="B40" t="s">
        <v>50</v>
      </c>
      <c r="C40">
        <v>92</v>
      </c>
      <c r="D40" s="1">
        <v>40268</v>
      </c>
      <c r="E40" t="s">
        <v>43</v>
      </c>
      <c r="F40" t="s">
        <v>54</v>
      </c>
      <c r="G40">
        <v>0</v>
      </c>
      <c r="H40">
        <v>0</v>
      </c>
      <c r="I40">
        <v>-12.27</v>
      </c>
      <c r="J40">
        <v>0</v>
      </c>
      <c r="K40">
        <v>0</v>
      </c>
      <c r="L40">
        <v>0</v>
      </c>
      <c r="M40">
        <v>0</v>
      </c>
      <c r="N40">
        <v>0</v>
      </c>
      <c r="O40">
        <v>-12.27</v>
      </c>
      <c r="P40">
        <v>0</v>
      </c>
      <c r="Q40">
        <v>4.0500000040500002</v>
      </c>
      <c r="R40">
        <v>-129</v>
      </c>
      <c r="S40">
        <v>0</v>
      </c>
      <c r="T40">
        <v>-424.11</v>
      </c>
      <c r="U40">
        <v>-522.45000052244995</v>
      </c>
      <c r="V40">
        <v>-98.340000522449998</v>
      </c>
      <c r="W40">
        <v>-32.910002981318897</v>
      </c>
      <c r="X40">
        <v>0</v>
      </c>
      <c r="Y40">
        <v>0</v>
      </c>
      <c r="Z40">
        <v>-32.910002981318897</v>
      </c>
      <c r="AA40">
        <v>-98.340000522449998</v>
      </c>
    </row>
    <row r="41" spans="1:27">
      <c r="A41" t="s">
        <v>27</v>
      </c>
      <c r="B41" t="s">
        <v>50</v>
      </c>
      <c r="C41">
        <v>96</v>
      </c>
      <c r="D41" s="1">
        <v>40296</v>
      </c>
      <c r="E41" t="s">
        <v>55</v>
      </c>
      <c r="F41" t="s">
        <v>56</v>
      </c>
      <c r="G41">
        <v>0</v>
      </c>
      <c r="H41">
        <v>0</v>
      </c>
      <c r="I41">
        <v>0</v>
      </c>
      <c r="J41">
        <v>-156.31</v>
      </c>
      <c r="K41">
        <v>-9</v>
      </c>
      <c r="L41">
        <v>0</v>
      </c>
      <c r="M41">
        <v>0</v>
      </c>
      <c r="N41">
        <v>0</v>
      </c>
      <c r="O41">
        <v>-165.31</v>
      </c>
      <c r="P41">
        <v>36</v>
      </c>
      <c r="Q41">
        <v>4.4500000222500002</v>
      </c>
      <c r="R41">
        <v>-93</v>
      </c>
      <c r="S41">
        <v>0</v>
      </c>
      <c r="T41">
        <v>-305.75372093023202</v>
      </c>
      <c r="U41">
        <v>-413.85000206925002</v>
      </c>
      <c r="V41">
        <v>-108.09628113901699</v>
      </c>
      <c r="W41">
        <v>-37.200001692599997</v>
      </c>
      <c r="X41">
        <v>-46.9537209302325</v>
      </c>
      <c r="Y41">
        <v>0</v>
      </c>
      <c r="Z41">
        <v>-84.153722622832504</v>
      </c>
      <c r="AA41">
        <v>-155.05000206925001</v>
      </c>
    </row>
    <row r="46" spans="1:27">
      <c r="A46" s="11" t="s">
        <v>120</v>
      </c>
    </row>
    <row r="47" spans="1:27">
      <c r="A47" s="9" t="s">
        <v>92</v>
      </c>
      <c r="H47" s="9" t="s">
        <v>93</v>
      </c>
      <c r="L47" s="7"/>
      <c r="N47" s="9" t="s">
        <v>76</v>
      </c>
      <c r="S47" s="9" t="s">
        <v>83</v>
      </c>
      <c r="X47" s="7">
        <v>0</v>
      </c>
    </row>
    <row r="48" spans="1:27">
      <c r="A48" t="s">
        <v>89</v>
      </c>
      <c r="F48" s="7">
        <f>+V40</f>
        <v>-98.340000522449998</v>
      </c>
      <c r="G48">
        <f>+V40</f>
        <v>-98.340000522449998</v>
      </c>
      <c r="H48" t="s">
        <v>94</v>
      </c>
      <c r="L48" s="10">
        <v>0</v>
      </c>
      <c r="N48" t="s">
        <v>113</v>
      </c>
      <c r="Q48" s="7">
        <f>+T40</f>
        <v>-424.11</v>
      </c>
      <c r="R48">
        <f>+S40</f>
        <v>0</v>
      </c>
      <c r="S48" t="s">
        <v>98</v>
      </c>
      <c r="X48" s="7">
        <f>+-Q49</f>
        <v>-118.35627906976744</v>
      </c>
    </row>
    <row r="49" spans="1:25">
      <c r="A49" t="s">
        <v>100</v>
      </c>
      <c r="F49" s="12">
        <f>+R41*(Q41-Q40)</f>
        <v>-37.200001692600011</v>
      </c>
      <c r="G49" s="8">
        <f>+W41</f>
        <v>-37.200001692599997</v>
      </c>
      <c r="H49" t="s">
        <v>79</v>
      </c>
      <c r="L49" s="7">
        <f>+O41+P41/(R41-P41)*T40</f>
        <v>-46.953720930232564</v>
      </c>
      <c r="M49">
        <f>+X41</f>
        <v>-46.9537209302325</v>
      </c>
      <c r="N49" t="s">
        <v>97</v>
      </c>
      <c r="Q49" s="7">
        <f>+P41/(R41-P41)*T40</f>
        <v>118.35627906976744</v>
      </c>
      <c r="S49" t="s">
        <v>90</v>
      </c>
      <c r="X49" s="7">
        <f>+-F51</f>
        <v>-27.443721076032556</v>
      </c>
    </row>
    <row r="50" spans="1:25">
      <c r="A50" t="s">
        <v>101</v>
      </c>
      <c r="F50" s="7">
        <f>+O41-(-P41/(R41-P41)*U40)</f>
        <v>-19.509999854200004</v>
      </c>
      <c r="H50" t="s">
        <v>99</v>
      </c>
      <c r="L50" s="7">
        <f>+L48+L49</f>
        <v>-46.953720930232564</v>
      </c>
      <c r="N50" t="s">
        <v>114</v>
      </c>
      <c r="Q50" s="7">
        <f>+SUM(Q48:Q49)</f>
        <v>-305.75372093023259</v>
      </c>
      <c r="R50">
        <f>+T41</f>
        <v>-305.75372093023202</v>
      </c>
      <c r="S50" t="s">
        <v>102</v>
      </c>
      <c r="X50" s="7">
        <f>+-F52</f>
        <v>-19.509999854200004</v>
      </c>
    </row>
    <row r="51" spans="1:25">
      <c r="A51" t="s">
        <v>111</v>
      </c>
      <c r="F51" s="7">
        <f>+P41/(R41-P41)*V40</f>
        <v>27.443721076032556</v>
      </c>
      <c r="G51" t="s">
        <v>104</v>
      </c>
      <c r="L51" s="7"/>
      <c r="Q51" s="7"/>
      <c r="X51" s="7">
        <f>+SUM(X47:X50)</f>
        <v>-165.31</v>
      </c>
      <c r="Y51">
        <f>+O41</f>
        <v>-165.31</v>
      </c>
    </row>
    <row r="52" spans="1:25">
      <c r="A52" t="s">
        <v>102</v>
      </c>
      <c r="F52" s="7">
        <f>+-F50</f>
        <v>19.509999854200004</v>
      </c>
      <c r="L52" s="7"/>
      <c r="Q52" s="7"/>
      <c r="X52" s="7"/>
    </row>
    <row r="53" spans="1:25">
      <c r="A53" t="s">
        <v>91</v>
      </c>
      <c r="F53" s="7">
        <f>+SUM(F48:F52)</f>
        <v>-108.09628113901745</v>
      </c>
      <c r="G53">
        <f>+V41</f>
        <v>-108.09628113901699</v>
      </c>
      <c r="H53" t="s">
        <v>95</v>
      </c>
      <c r="L53" s="7"/>
      <c r="Q53" s="7"/>
      <c r="X53" s="7"/>
    </row>
    <row r="54" spans="1:25">
      <c r="A54" s="11" t="s">
        <v>105</v>
      </c>
    </row>
    <row r="56" spans="1:25">
      <c r="A56" t="s">
        <v>103</v>
      </c>
      <c r="F56">
        <v>1</v>
      </c>
    </row>
    <row r="57" spans="1:25">
      <c r="A57" s="11" t="s">
        <v>121</v>
      </c>
      <c r="F57" s="13"/>
    </row>
    <row r="58" spans="1:25">
      <c r="A58" t="s">
        <v>89</v>
      </c>
      <c r="F58">
        <f>+V38</f>
        <v>-12.02</v>
      </c>
    </row>
    <row r="59" spans="1:25">
      <c r="A59" t="s">
        <v>106</v>
      </c>
      <c r="F59" s="7">
        <f>+R38*(Q39-Q38/$F$56)</f>
        <v>-35.18999902788898</v>
      </c>
      <c r="G59" s="14"/>
      <c r="H59" s="7" t="s">
        <v>124</v>
      </c>
    </row>
    <row r="60" spans="1:25">
      <c r="A60" t="s">
        <v>123</v>
      </c>
      <c r="F60">
        <f>+O39+P39*Q39</f>
        <v>-18.21999851324199</v>
      </c>
      <c r="G60" s="14"/>
    </row>
    <row r="61" spans="1:25">
      <c r="A61" t="s">
        <v>108</v>
      </c>
      <c r="F61" s="13">
        <f>+F58+F59+F60</f>
        <v>-65.429997541130973</v>
      </c>
      <c r="G61" s="7">
        <f>+V39</f>
        <v>-65.429997541131002</v>
      </c>
    </row>
    <row r="63" spans="1:25">
      <c r="A63" s="11" t="s">
        <v>122</v>
      </c>
      <c r="F63" s="13"/>
    </row>
    <row r="64" spans="1:25">
      <c r="A64" t="s">
        <v>89</v>
      </c>
      <c r="F64" s="13">
        <f>+V38</f>
        <v>-12.02</v>
      </c>
    </row>
    <row r="65" spans="1:8">
      <c r="A65" t="s">
        <v>109</v>
      </c>
      <c r="F65" s="13">
        <f>+R39*(Q39-Q38/F56)</f>
        <v>-89.009997541130957</v>
      </c>
      <c r="G65" s="14"/>
      <c r="H65" s="7" t="s">
        <v>124</v>
      </c>
    </row>
    <row r="66" spans="1:8">
      <c r="A66" t="s">
        <v>112</v>
      </c>
      <c r="F66" s="13">
        <f>+(O39+P39*Q38/F56)</f>
        <v>35.599999999999966</v>
      </c>
      <c r="G66" s="14"/>
    </row>
    <row r="67" spans="1:8">
      <c r="A67" t="s">
        <v>108</v>
      </c>
      <c r="F67" s="13">
        <f>+SUM(F64:F66)</f>
        <v>-65.429997541130987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H463"/>
  <sheetViews>
    <sheetView workbookViewId="0">
      <selection activeCell="C9" sqref="C9"/>
    </sheetView>
  </sheetViews>
  <sheetFormatPr defaultRowHeight="15"/>
  <cols>
    <col min="1" max="1" width="15.7109375" bestFit="1" customWidth="1"/>
    <col min="2" max="2" width="26.28515625" bestFit="1" customWidth="1"/>
    <col min="3" max="3" width="15.7109375" bestFit="1" customWidth="1"/>
    <col min="4" max="4" width="28.85546875" bestFit="1" customWidth="1"/>
    <col min="5" max="5" width="12" bestFit="1" customWidth="1"/>
  </cols>
  <sheetData>
    <row r="1" spans="1:8">
      <c r="A1" t="s">
        <v>125</v>
      </c>
    </row>
    <row r="3" spans="1:8">
      <c r="A3" t="s">
        <v>126</v>
      </c>
      <c r="B3" t="s">
        <v>50</v>
      </c>
      <c r="C3" t="s">
        <v>127</v>
      </c>
      <c r="D3" t="s">
        <v>128</v>
      </c>
      <c r="E3" t="s">
        <v>129</v>
      </c>
      <c r="F3" t="s">
        <v>130</v>
      </c>
    </row>
    <row r="4" spans="1:8">
      <c r="A4" t="s">
        <v>131</v>
      </c>
      <c r="B4">
        <v>20090601</v>
      </c>
      <c r="C4" t="s">
        <v>132</v>
      </c>
      <c r="D4">
        <v>20100601</v>
      </c>
    </row>
    <row r="5" spans="1:8">
      <c r="A5" t="s">
        <v>133</v>
      </c>
      <c r="B5">
        <v>0</v>
      </c>
      <c r="C5" t="s">
        <v>134</v>
      </c>
      <c r="D5">
        <v>3.2</v>
      </c>
      <c r="E5" t="s">
        <v>135</v>
      </c>
      <c r="F5">
        <v>0</v>
      </c>
    </row>
    <row r="6" spans="1:8">
      <c r="A6" t="s">
        <v>136</v>
      </c>
      <c r="B6">
        <v>-93</v>
      </c>
      <c r="C6" t="s">
        <v>137</v>
      </c>
      <c r="D6">
        <v>3.85</v>
      </c>
      <c r="E6" t="s">
        <v>138</v>
      </c>
      <c r="F6">
        <v>-358.05</v>
      </c>
    </row>
    <row r="7" spans="1:8">
      <c r="A7" t="s">
        <v>139</v>
      </c>
      <c r="B7">
        <v>0</v>
      </c>
      <c r="C7" t="s">
        <v>140</v>
      </c>
      <c r="D7">
        <v>258.8</v>
      </c>
      <c r="E7" t="s">
        <v>141</v>
      </c>
      <c r="F7">
        <v>0</v>
      </c>
    </row>
    <row r="8" spans="1:8">
      <c r="A8" t="s">
        <v>142</v>
      </c>
      <c r="B8">
        <v>0</v>
      </c>
      <c r="C8" t="s">
        <v>143</v>
      </c>
      <c r="D8">
        <v>0</v>
      </c>
      <c r="E8" t="s">
        <v>144</v>
      </c>
      <c r="F8">
        <v>-424.11</v>
      </c>
      <c r="G8" t="s">
        <v>145</v>
      </c>
      <c r="H8">
        <v>165.31</v>
      </c>
    </row>
    <row r="9" spans="1:8">
      <c r="A9" t="s">
        <v>146</v>
      </c>
      <c r="B9">
        <v>0</v>
      </c>
      <c r="C9" t="s">
        <v>147</v>
      </c>
      <c r="D9">
        <v>0</v>
      </c>
    </row>
    <row r="10" spans="1:8">
      <c r="A10" t="s">
        <v>148</v>
      </c>
      <c r="B10">
        <v>0</v>
      </c>
      <c r="C10" t="s">
        <v>149</v>
      </c>
      <c r="D10">
        <v>-305.75372093023202</v>
      </c>
    </row>
    <row r="11" spans="1:8">
      <c r="A11" t="s">
        <v>150</v>
      </c>
      <c r="B11">
        <v>-46.9537209302325</v>
      </c>
      <c r="C11" t="s">
        <v>151</v>
      </c>
      <c r="D11" t="s">
        <v>152</v>
      </c>
      <c r="E11">
        <v>-99.25</v>
      </c>
    </row>
    <row r="12" spans="1:8">
      <c r="A12" t="s">
        <v>153</v>
      </c>
    </row>
    <row r="14" spans="1:8">
      <c r="A14" t="s">
        <v>154</v>
      </c>
      <c r="C14" t="s">
        <v>155</v>
      </c>
      <c r="E14" t="s">
        <v>156</v>
      </c>
    </row>
    <row r="15" spans="1:8">
      <c r="A15" t="s">
        <v>3</v>
      </c>
      <c r="B15" t="s">
        <v>157</v>
      </c>
      <c r="C15" t="s">
        <v>3</v>
      </c>
      <c r="D15" t="s">
        <v>157</v>
      </c>
      <c r="E15" t="s">
        <v>3</v>
      </c>
      <c r="F15" t="s">
        <v>157</v>
      </c>
    </row>
    <row r="16" spans="1:8">
      <c r="A16" s="1">
        <v>40219</v>
      </c>
      <c r="B16">
        <v>151.18</v>
      </c>
      <c r="C16" s="1">
        <v>40219</v>
      </c>
      <c r="D16">
        <v>-151.18</v>
      </c>
      <c r="E16" s="1">
        <v>40219</v>
      </c>
      <c r="F16">
        <v>0</v>
      </c>
    </row>
    <row r="17" spans="1:8">
      <c r="A17" s="1">
        <v>40252</v>
      </c>
      <c r="B17">
        <v>285.2</v>
      </c>
      <c r="C17" s="1">
        <v>40252</v>
      </c>
      <c r="D17">
        <v>-285.2</v>
      </c>
      <c r="E17" s="1">
        <v>40252</v>
      </c>
      <c r="F17">
        <v>0</v>
      </c>
    </row>
    <row r="18" spans="1:8">
      <c r="A18" s="1">
        <v>40268</v>
      </c>
      <c r="B18">
        <v>-12.27</v>
      </c>
      <c r="C18" s="1">
        <v>40268</v>
      </c>
      <c r="D18">
        <v>12.27</v>
      </c>
      <c r="E18" s="1">
        <v>40268</v>
      </c>
      <c r="F18">
        <v>0</v>
      </c>
    </row>
    <row r="19" spans="1:8">
      <c r="A19" s="1">
        <v>40296</v>
      </c>
      <c r="B19">
        <v>-165.31</v>
      </c>
      <c r="C19" s="1">
        <v>40296</v>
      </c>
      <c r="D19">
        <v>165.31</v>
      </c>
      <c r="E19" s="1">
        <v>40296</v>
      </c>
      <c r="F19">
        <v>0</v>
      </c>
    </row>
    <row r="20" spans="1:8">
      <c r="A20" s="1">
        <v>40330</v>
      </c>
      <c r="B20">
        <v>0</v>
      </c>
      <c r="C20" s="1">
        <v>40330</v>
      </c>
      <c r="D20">
        <v>0</v>
      </c>
    </row>
    <row r="22" spans="1:8">
      <c r="A22" t="s">
        <v>158</v>
      </c>
      <c r="B22">
        <v>0.337468180718204</v>
      </c>
      <c r="C22" t="s">
        <v>159</v>
      </c>
      <c r="D22">
        <v>1.62711310898126</v>
      </c>
    </row>
    <row r="25" spans="1:8">
      <c r="A25" t="s">
        <v>125</v>
      </c>
    </row>
    <row r="27" spans="1:8">
      <c r="A27" t="s">
        <v>126</v>
      </c>
      <c r="B27" t="s">
        <v>57</v>
      </c>
      <c r="C27" t="s">
        <v>127</v>
      </c>
      <c r="D27" t="s">
        <v>160</v>
      </c>
      <c r="E27" t="s">
        <v>129</v>
      </c>
      <c r="F27" t="s">
        <v>130</v>
      </c>
    </row>
    <row r="28" spans="1:8">
      <c r="A28" t="s">
        <v>131</v>
      </c>
      <c r="B28">
        <v>20090601</v>
      </c>
      <c r="C28" t="s">
        <v>132</v>
      </c>
      <c r="D28">
        <v>20100601</v>
      </c>
    </row>
    <row r="29" spans="1:8">
      <c r="A29" t="s">
        <v>133</v>
      </c>
      <c r="B29">
        <v>800</v>
      </c>
      <c r="C29" t="s">
        <v>134</v>
      </c>
      <c r="D29">
        <v>11.68</v>
      </c>
      <c r="E29" t="s">
        <v>135</v>
      </c>
      <c r="F29">
        <v>9344</v>
      </c>
    </row>
    <row r="30" spans="1:8">
      <c r="A30" t="s">
        <v>136</v>
      </c>
      <c r="B30">
        <v>800</v>
      </c>
      <c r="C30" t="s">
        <v>137</v>
      </c>
      <c r="D30">
        <v>13.09</v>
      </c>
      <c r="E30" t="s">
        <v>138</v>
      </c>
      <c r="F30">
        <v>10472</v>
      </c>
    </row>
    <row r="31" spans="1:8">
      <c r="A31" t="s">
        <v>139</v>
      </c>
      <c r="B31">
        <v>-10340</v>
      </c>
      <c r="C31" t="s">
        <v>140</v>
      </c>
      <c r="D31">
        <v>-10340</v>
      </c>
      <c r="E31" t="s">
        <v>141</v>
      </c>
      <c r="F31">
        <v>0</v>
      </c>
    </row>
    <row r="32" spans="1:8">
      <c r="A32" t="s">
        <v>142</v>
      </c>
      <c r="B32">
        <v>0</v>
      </c>
      <c r="C32" t="s">
        <v>143</v>
      </c>
      <c r="D32">
        <v>0</v>
      </c>
      <c r="E32" t="s">
        <v>144</v>
      </c>
      <c r="F32">
        <v>0</v>
      </c>
      <c r="G32" t="s">
        <v>145</v>
      </c>
      <c r="H32">
        <v>0</v>
      </c>
    </row>
    <row r="33" spans="1:6">
      <c r="A33" t="s">
        <v>146</v>
      </c>
      <c r="B33">
        <v>0</v>
      </c>
      <c r="C33" t="s">
        <v>147</v>
      </c>
      <c r="D33">
        <v>0</v>
      </c>
    </row>
    <row r="34" spans="1:6">
      <c r="A34" t="s">
        <v>148</v>
      </c>
      <c r="B34">
        <v>10340</v>
      </c>
      <c r="C34" t="s">
        <v>149</v>
      </c>
      <c r="D34">
        <v>0</v>
      </c>
    </row>
    <row r="35" spans="1:6">
      <c r="A35" t="s">
        <v>150</v>
      </c>
      <c r="B35">
        <v>0</v>
      </c>
      <c r="C35" t="s">
        <v>151</v>
      </c>
      <c r="D35" t="s">
        <v>161</v>
      </c>
      <c r="E35">
        <v>1127.99999999999</v>
      </c>
    </row>
    <row r="36" spans="1:6">
      <c r="A36" t="s">
        <v>153</v>
      </c>
    </row>
    <row r="38" spans="1:6">
      <c r="A38" t="s">
        <v>154</v>
      </c>
      <c r="C38" t="s">
        <v>155</v>
      </c>
      <c r="E38" t="s">
        <v>156</v>
      </c>
    </row>
    <row r="39" spans="1:6">
      <c r="A39" t="s">
        <v>3</v>
      </c>
      <c r="B39" t="s">
        <v>157</v>
      </c>
      <c r="C39" t="s">
        <v>3</v>
      </c>
      <c r="D39" t="s">
        <v>157</v>
      </c>
      <c r="E39" t="s">
        <v>3</v>
      </c>
      <c r="F39" t="s">
        <v>157</v>
      </c>
    </row>
    <row r="40" spans="1:6">
      <c r="A40" s="1">
        <v>39965</v>
      </c>
      <c r="B40">
        <v>0</v>
      </c>
      <c r="C40" s="1">
        <v>39965</v>
      </c>
      <c r="D40">
        <v>0</v>
      </c>
    </row>
    <row r="41" spans="1:6">
      <c r="A41" s="1">
        <v>40330</v>
      </c>
      <c r="B41">
        <v>0</v>
      </c>
      <c r="C41" s="1">
        <v>40330</v>
      </c>
      <c r="D41">
        <v>0</v>
      </c>
    </row>
    <row r="43" spans="1:6">
      <c r="A43" t="s">
        <v>158</v>
      </c>
      <c r="B43">
        <v>0.120719178082191</v>
      </c>
      <c r="C43" t="s">
        <v>159</v>
      </c>
      <c r="D43">
        <v>0.120719178082191</v>
      </c>
    </row>
    <row r="46" spans="1:6">
      <c r="A46" t="s">
        <v>125</v>
      </c>
    </row>
    <row r="48" spans="1:6">
      <c r="A48" t="s">
        <v>126</v>
      </c>
      <c r="B48" t="s">
        <v>37</v>
      </c>
      <c r="C48" t="s">
        <v>127</v>
      </c>
      <c r="D48" t="s">
        <v>162</v>
      </c>
      <c r="E48" t="s">
        <v>129</v>
      </c>
      <c r="F48" t="s">
        <v>130</v>
      </c>
    </row>
    <row r="49" spans="1:8">
      <c r="A49" t="s">
        <v>131</v>
      </c>
      <c r="B49">
        <v>20090601</v>
      </c>
      <c r="C49" t="s">
        <v>132</v>
      </c>
      <c r="D49">
        <v>20100601</v>
      </c>
    </row>
    <row r="50" spans="1:8">
      <c r="A50" t="s">
        <v>133</v>
      </c>
      <c r="B50">
        <v>0</v>
      </c>
      <c r="C50" t="s">
        <v>134</v>
      </c>
      <c r="D50">
        <v>35.339997278820199</v>
      </c>
      <c r="E50" t="s">
        <v>135</v>
      </c>
      <c r="F50">
        <v>0</v>
      </c>
    </row>
    <row r="51" spans="1:8">
      <c r="A51" t="s">
        <v>136</v>
      </c>
      <c r="B51">
        <v>0</v>
      </c>
      <c r="C51" t="s">
        <v>137</v>
      </c>
      <c r="D51">
        <v>27.46</v>
      </c>
      <c r="E51" t="s">
        <v>138</v>
      </c>
      <c r="F51">
        <v>0</v>
      </c>
    </row>
    <row r="52" spans="1:8">
      <c r="A52" t="s">
        <v>139</v>
      </c>
      <c r="B52">
        <v>0</v>
      </c>
      <c r="C52" t="s">
        <v>140</v>
      </c>
      <c r="D52">
        <v>-2039.49</v>
      </c>
      <c r="E52" t="s">
        <v>141</v>
      </c>
      <c r="F52">
        <v>0</v>
      </c>
    </row>
    <row r="53" spans="1:8">
      <c r="A53" t="s">
        <v>142</v>
      </c>
      <c r="B53">
        <v>5517</v>
      </c>
      <c r="C53" t="s">
        <v>143</v>
      </c>
      <c r="D53">
        <v>-3713.34</v>
      </c>
      <c r="E53" t="s">
        <v>144</v>
      </c>
      <c r="F53">
        <v>0</v>
      </c>
      <c r="G53" t="s">
        <v>145</v>
      </c>
      <c r="H53">
        <v>0</v>
      </c>
    </row>
    <row r="54" spans="1:8">
      <c r="A54" t="s">
        <v>146</v>
      </c>
      <c r="B54">
        <v>97.21</v>
      </c>
      <c r="C54" t="s">
        <v>147</v>
      </c>
      <c r="D54">
        <v>-3.76</v>
      </c>
    </row>
    <row r="55" spans="1:8">
      <c r="A55" t="s">
        <v>148</v>
      </c>
      <c r="B55">
        <v>0</v>
      </c>
      <c r="C55" t="s">
        <v>149</v>
      </c>
      <c r="D55">
        <v>0</v>
      </c>
    </row>
    <row r="56" spans="1:8">
      <c r="A56" t="s">
        <v>150</v>
      </c>
      <c r="B56">
        <v>-1803.66</v>
      </c>
      <c r="C56" t="s">
        <v>151</v>
      </c>
      <c r="D56" t="s">
        <v>163</v>
      </c>
      <c r="E56">
        <v>-1803.66</v>
      </c>
    </row>
    <row r="57" spans="1:8">
      <c r="A57" t="s">
        <v>153</v>
      </c>
    </row>
    <row r="59" spans="1:8">
      <c r="A59" t="s">
        <v>154</v>
      </c>
      <c r="C59" t="s">
        <v>155</v>
      </c>
      <c r="E59" t="s">
        <v>156</v>
      </c>
    </row>
    <row r="60" spans="1:8">
      <c r="A60" t="s">
        <v>3</v>
      </c>
      <c r="B60" t="s">
        <v>157</v>
      </c>
      <c r="C60" t="s">
        <v>3</v>
      </c>
      <c r="D60" t="s">
        <v>157</v>
      </c>
      <c r="E60" t="s">
        <v>3</v>
      </c>
      <c r="F60" t="s">
        <v>157</v>
      </c>
    </row>
    <row r="61" spans="1:8">
      <c r="A61" s="1">
        <v>40211</v>
      </c>
      <c r="B61">
        <v>-3797</v>
      </c>
      <c r="C61" s="1">
        <v>40211</v>
      </c>
      <c r="D61">
        <v>3797</v>
      </c>
      <c r="E61" s="1">
        <v>40211</v>
      </c>
      <c r="F61">
        <v>0</v>
      </c>
    </row>
    <row r="62" spans="1:8">
      <c r="A62" s="1">
        <v>40252</v>
      </c>
      <c r="B62">
        <v>-1720</v>
      </c>
      <c r="C62" s="1">
        <v>40252</v>
      </c>
      <c r="D62">
        <v>1720</v>
      </c>
      <c r="E62" s="1">
        <v>40252</v>
      </c>
      <c r="F62">
        <v>0</v>
      </c>
    </row>
    <row r="63" spans="1:8">
      <c r="A63" s="1">
        <v>40266</v>
      </c>
      <c r="B63">
        <v>97.21</v>
      </c>
      <c r="C63" s="1">
        <v>40266</v>
      </c>
      <c r="D63">
        <v>0</v>
      </c>
      <c r="E63" s="1">
        <v>40266</v>
      </c>
      <c r="F63">
        <v>0</v>
      </c>
    </row>
    <row r="64" spans="1:8">
      <c r="A64" s="1">
        <v>40276</v>
      </c>
      <c r="B64">
        <v>-3.76</v>
      </c>
      <c r="C64" s="1">
        <v>40276</v>
      </c>
      <c r="D64">
        <v>0</v>
      </c>
      <c r="E64" s="1">
        <v>40276</v>
      </c>
      <c r="F64">
        <v>0</v>
      </c>
    </row>
    <row r="65" spans="1:8">
      <c r="A65" s="1">
        <v>40283</v>
      </c>
      <c r="B65">
        <v>927</v>
      </c>
      <c r="C65" s="1">
        <v>40283</v>
      </c>
      <c r="D65">
        <v>-927</v>
      </c>
      <c r="E65" s="1">
        <v>40283</v>
      </c>
      <c r="F65">
        <v>0</v>
      </c>
    </row>
    <row r="66" spans="1:8">
      <c r="A66" s="1">
        <v>40296</v>
      </c>
      <c r="B66">
        <v>329.28</v>
      </c>
      <c r="C66" s="1">
        <v>40296</v>
      </c>
      <c r="D66">
        <v>-329.28</v>
      </c>
      <c r="E66" s="1">
        <v>40296</v>
      </c>
      <c r="F66">
        <v>-329.28</v>
      </c>
    </row>
    <row r="67" spans="1:8">
      <c r="A67" s="1">
        <v>40312</v>
      </c>
      <c r="B67">
        <v>2457.06</v>
      </c>
      <c r="C67" s="1">
        <v>40312</v>
      </c>
      <c r="D67">
        <v>-2457.06</v>
      </c>
      <c r="E67" s="1">
        <v>40312</v>
      </c>
      <c r="F67">
        <v>0</v>
      </c>
    </row>
    <row r="69" spans="1:8">
      <c r="A69" t="s">
        <v>158</v>
      </c>
      <c r="B69">
        <v>-0.38000860727876001</v>
      </c>
      <c r="C69" t="s">
        <v>159</v>
      </c>
      <c r="D69">
        <v>-0.82307371859775003</v>
      </c>
    </row>
    <row r="72" spans="1:8">
      <c r="A72" t="s">
        <v>125</v>
      </c>
    </row>
    <row r="74" spans="1:8">
      <c r="A74" t="s">
        <v>126</v>
      </c>
      <c r="B74" t="s">
        <v>61</v>
      </c>
      <c r="C74" t="s">
        <v>127</v>
      </c>
      <c r="D74" t="s">
        <v>164</v>
      </c>
      <c r="E74" t="s">
        <v>129</v>
      </c>
      <c r="F74" t="s">
        <v>130</v>
      </c>
    </row>
    <row r="75" spans="1:8">
      <c r="A75" t="s">
        <v>131</v>
      </c>
      <c r="B75">
        <v>20090601</v>
      </c>
      <c r="C75" t="s">
        <v>132</v>
      </c>
      <c r="D75">
        <v>20100601</v>
      </c>
    </row>
    <row r="76" spans="1:8">
      <c r="A76" t="s">
        <v>133</v>
      </c>
      <c r="B76">
        <v>172.2141</v>
      </c>
      <c r="C76" t="s">
        <v>134</v>
      </c>
      <c r="D76">
        <v>87.169974476631396</v>
      </c>
      <c r="E76" t="s">
        <v>135</v>
      </c>
      <c r="F76">
        <v>15011.898701516</v>
      </c>
    </row>
    <row r="77" spans="1:8">
      <c r="A77" t="s">
        <v>136</v>
      </c>
      <c r="B77">
        <v>0</v>
      </c>
      <c r="C77" t="s">
        <v>137</v>
      </c>
      <c r="D77">
        <v>98.95</v>
      </c>
      <c r="E77" t="s">
        <v>138</v>
      </c>
      <c r="F77">
        <v>0</v>
      </c>
    </row>
    <row r="78" spans="1:8">
      <c r="A78" t="s">
        <v>139</v>
      </c>
      <c r="B78">
        <v>-12693.63</v>
      </c>
      <c r="C78" t="s">
        <v>140</v>
      </c>
      <c r="D78">
        <v>5326.38</v>
      </c>
      <c r="E78" t="s">
        <v>141</v>
      </c>
      <c r="F78">
        <v>0</v>
      </c>
    </row>
    <row r="79" spans="1:8">
      <c r="A79" t="s">
        <v>142</v>
      </c>
      <c r="B79">
        <v>302.11</v>
      </c>
      <c r="C79" t="s">
        <v>143</v>
      </c>
      <c r="D79">
        <v>-18012.400000000001</v>
      </c>
      <c r="E79" t="s">
        <v>144</v>
      </c>
      <c r="F79">
        <v>0</v>
      </c>
      <c r="G79" t="s">
        <v>145</v>
      </c>
      <c r="H79">
        <v>0</v>
      </c>
    </row>
    <row r="80" spans="1:8">
      <c r="A80" t="s">
        <v>146</v>
      </c>
      <c r="B80">
        <v>309.72000000000003</v>
      </c>
      <c r="C80" t="s">
        <v>147</v>
      </c>
      <c r="D80">
        <v>0</v>
      </c>
    </row>
    <row r="81" spans="1:6">
      <c r="A81" t="s">
        <v>148</v>
      </c>
      <c r="B81">
        <v>0</v>
      </c>
      <c r="C81" t="s">
        <v>149</v>
      </c>
      <c r="D81">
        <v>0</v>
      </c>
    </row>
    <row r="82" spans="1:6">
      <c r="A82" t="s">
        <v>150</v>
      </c>
      <c r="B82">
        <v>5016.66</v>
      </c>
      <c r="C82" t="s">
        <v>151</v>
      </c>
      <c r="D82" t="s">
        <v>165</v>
      </c>
      <c r="E82">
        <v>2698.3912984839399</v>
      </c>
    </row>
    <row r="83" spans="1:6">
      <c r="A83" t="s">
        <v>153</v>
      </c>
    </row>
    <row r="85" spans="1:6">
      <c r="A85" t="s">
        <v>154</v>
      </c>
      <c r="C85" t="s">
        <v>155</v>
      </c>
      <c r="E85" t="s">
        <v>156</v>
      </c>
    </row>
    <row r="86" spans="1:6">
      <c r="A86" t="s">
        <v>3</v>
      </c>
      <c r="B86" t="s">
        <v>157</v>
      </c>
      <c r="C86" t="s">
        <v>3</v>
      </c>
      <c r="D86" t="s">
        <v>157</v>
      </c>
      <c r="E86" t="s">
        <v>3</v>
      </c>
      <c r="F86" t="s">
        <v>157</v>
      </c>
    </row>
    <row r="87" spans="1:6">
      <c r="A87" s="1">
        <v>39965</v>
      </c>
      <c r="B87">
        <v>0</v>
      </c>
      <c r="C87" s="1">
        <v>39965</v>
      </c>
      <c r="D87">
        <v>0</v>
      </c>
      <c r="E87" s="1">
        <v>40177</v>
      </c>
      <c r="F87">
        <v>0</v>
      </c>
    </row>
    <row r="88" spans="1:6">
      <c r="A88" s="1">
        <v>40177</v>
      </c>
      <c r="B88">
        <v>0</v>
      </c>
      <c r="C88" s="1">
        <v>40177</v>
      </c>
      <c r="D88">
        <v>302.11</v>
      </c>
      <c r="E88" s="1">
        <v>40265</v>
      </c>
      <c r="F88">
        <v>0</v>
      </c>
    </row>
    <row r="89" spans="1:6">
      <c r="A89" s="1">
        <v>40265</v>
      </c>
      <c r="B89">
        <v>7.61</v>
      </c>
      <c r="C89" s="1">
        <v>40265</v>
      </c>
      <c r="D89">
        <v>0</v>
      </c>
      <c r="E89" s="1">
        <v>40301</v>
      </c>
      <c r="F89">
        <v>0</v>
      </c>
    </row>
    <row r="90" spans="1:6">
      <c r="A90" s="1">
        <v>40301</v>
      </c>
      <c r="B90">
        <v>18012.400000000001</v>
      </c>
      <c r="C90" s="1">
        <v>40301</v>
      </c>
      <c r="D90">
        <v>-18012.400000000001</v>
      </c>
    </row>
    <row r="92" spans="1:6">
      <c r="A92" t="s">
        <v>158</v>
      </c>
      <c r="B92">
        <v>0.198904542221055</v>
      </c>
      <c r="C92" t="s">
        <v>159</v>
      </c>
      <c r="D92">
        <v>0.21946505487521401</v>
      </c>
    </row>
    <row r="95" spans="1:6">
      <c r="A95" t="s">
        <v>125</v>
      </c>
    </row>
    <row r="97" spans="1:8">
      <c r="A97" t="s">
        <v>126</v>
      </c>
      <c r="B97" t="s">
        <v>68</v>
      </c>
      <c r="C97" t="s">
        <v>127</v>
      </c>
      <c r="D97" t="s">
        <v>166</v>
      </c>
      <c r="E97" t="s">
        <v>129</v>
      </c>
      <c r="F97" t="s">
        <v>130</v>
      </c>
    </row>
    <row r="98" spans="1:8">
      <c r="A98" t="s">
        <v>131</v>
      </c>
      <c r="B98">
        <v>20090601</v>
      </c>
      <c r="C98" t="s">
        <v>132</v>
      </c>
      <c r="D98">
        <v>20100601</v>
      </c>
    </row>
    <row r="99" spans="1:8">
      <c r="A99" t="s">
        <v>133</v>
      </c>
      <c r="B99">
        <v>0</v>
      </c>
      <c r="C99" t="s">
        <v>134</v>
      </c>
      <c r="D99">
        <v>16.699999866399999</v>
      </c>
      <c r="E99" t="s">
        <v>135</v>
      </c>
      <c r="F99">
        <v>0</v>
      </c>
    </row>
    <row r="100" spans="1:8">
      <c r="A100" t="s">
        <v>136</v>
      </c>
      <c r="B100">
        <v>54</v>
      </c>
      <c r="C100" t="s">
        <v>137</v>
      </c>
      <c r="D100">
        <v>15.02</v>
      </c>
      <c r="E100" t="s">
        <v>138</v>
      </c>
      <c r="F100">
        <v>811.07999999999902</v>
      </c>
    </row>
    <row r="101" spans="1:8">
      <c r="A101" t="s">
        <v>139</v>
      </c>
      <c r="B101">
        <v>0</v>
      </c>
      <c r="C101" t="s">
        <v>140</v>
      </c>
      <c r="D101">
        <v>16.32</v>
      </c>
      <c r="E101" t="s">
        <v>141</v>
      </c>
      <c r="F101">
        <v>0</v>
      </c>
    </row>
    <row r="102" spans="1:8">
      <c r="A102" t="s">
        <v>142</v>
      </c>
      <c r="B102">
        <v>894.78</v>
      </c>
      <c r="C102" t="s">
        <v>143</v>
      </c>
      <c r="D102">
        <v>0</v>
      </c>
      <c r="E102" t="s">
        <v>144</v>
      </c>
      <c r="F102">
        <v>0</v>
      </c>
      <c r="G102" t="s">
        <v>145</v>
      </c>
      <c r="H102">
        <v>0</v>
      </c>
    </row>
    <row r="103" spans="1:8">
      <c r="A103" t="s">
        <v>146</v>
      </c>
      <c r="B103">
        <v>0</v>
      </c>
      <c r="C103" t="s">
        <v>147</v>
      </c>
      <c r="D103">
        <v>0</v>
      </c>
    </row>
    <row r="104" spans="1:8">
      <c r="A104" t="s">
        <v>148</v>
      </c>
      <c r="B104">
        <v>894.78</v>
      </c>
      <c r="C104" t="s">
        <v>149</v>
      </c>
      <c r="D104">
        <v>0</v>
      </c>
    </row>
    <row r="105" spans="1:8">
      <c r="A105" t="s">
        <v>150</v>
      </c>
      <c r="B105">
        <v>0</v>
      </c>
      <c r="C105" t="s">
        <v>151</v>
      </c>
      <c r="D105" t="s">
        <v>167</v>
      </c>
      <c r="E105">
        <v>-83.7</v>
      </c>
    </row>
    <row r="106" spans="1:8">
      <c r="A106" t="s">
        <v>153</v>
      </c>
    </row>
    <row r="108" spans="1:8">
      <c r="A108" t="s">
        <v>154</v>
      </c>
      <c r="C108" t="s">
        <v>155</v>
      </c>
      <c r="E108" t="s">
        <v>156</v>
      </c>
    </row>
    <row r="109" spans="1:8">
      <c r="A109" t="s">
        <v>3</v>
      </c>
      <c r="B109" t="s">
        <v>157</v>
      </c>
      <c r="C109" t="s">
        <v>3</v>
      </c>
      <c r="D109" t="s">
        <v>157</v>
      </c>
      <c r="E109" t="s">
        <v>3</v>
      </c>
      <c r="F109" t="s">
        <v>157</v>
      </c>
    </row>
    <row r="110" spans="1:8">
      <c r="A110" s="1">
        <v>40186</v>
      </c>
      <c r="B110">
        <v>-911.1</v>
      </c>
      <c r="C110" s="1">
        <v>40186</v>
      </c>
      <c r="D110">
        <v>911.1</v>
      </c>
      <c r="E110" s="1">
        <v>40186</v>
      </c>
      <c r="F110">
        <v>911.1</v>
      </c>
    </row>
    <row r="111" spans="1:8">
      <c r="A111" s="1">
        <v>40187</v>
      </c>
      <c r="B111">
        <v>16.32</v>
      </c>
      <c r="C111" s="1">
        <v>40187</v>
      </c>
      <c r="D111">
        <v>-16.32</v>
      </c>
      <c r="E111" s="1">
        <v>40187</v>
      </c>
      <c r="F111">
        <v>0</v>
      </c>
    </row>
    <row r="112" spans="1:8">
      <c r="A112" s="1">
        <v>40330</v>
      </c>
      <c r="B112">
        <v>0</v>
      </c>
      <c r="C112" s="1">
        <v>40330</v>
      </c>
      <c r="D112">
        <v>0</v>
      </c>
    </row>
    <row r="114" spans="1:8">
      <c r="A114" t="s">
        <v>158</v>
      </c>
      <c r="B114">
        <v>-9.3530700120684804E-2</v>
      </c>
      <c r="C114" t="s">
        <v>159</v>
      </c>
      <c r="D114">
        <v>-0.22034716036146401</v>
      </c>
    </row>
    <row r="117" spans="1:8">
      <c r="A117" t="s">
        <v>125</v>
      </c>
    </row>
    <row r="119" spans="1:8">
      <c r="A119" t="s">
        <v>126</v>
      </c>
      <c r="B119" t="s">
        <v>27</v>
      </c>
      <c r="C119" t="s">
        <v>127</v>
      </c>
      <c r="D119" t="s">
        <v>168</v>
      </c>
      <c r="E119" t="s">
        <v>129</v>
      </c>
      <c r="F119" t="s">
        <v>169</v>
      </c>
    </row>
    <row r="120" spans="1:8">
      <c r="A120" t="s">
        <v>131</v>
      </c>
      <c r="B120">
        <v>20090601</v>
      </c>
      <c r="C120" t="s">
        <v>132</v>
      </c>
      <c r="D120">
        <v>20100601</v>
      </c>
    </row>
    <row r="121" spans="1:8">
      <c r="A121" t="s">
        <v>133</v>
      </c>
      <c r="B121">
        <v>0</v>
      </c>
      <c r="C121" t="s">
        <v>134</v>
      </c>
      <c r="D121">
        <v>0</v>
      </c>
      <c r="E121" t="s">
        <v>135</v>
      </c>
      <c r="F121">
        <v>24355.898701515998</v>
      </c>
    </row>
    <row r="122" spans="1:8">
      <c r="A122" t="s">
        <v>136</v>
      </c>
      <c r="B122">
        <v>0</v>
      </c>
      <c r="C122" t="s">
        <v>137</v>
      </c>
      <c r="D122">
        <v>0</v>
      </c>
      <c r="E122" t="s">
        <v>138</v>
      </c>
      <c r="F122">
        <v>10925.03</v>
      </c>
    </row>
    <row r="123" spans="1:8">
      <c r="A123" t="s">
        <v>139</v>
      </c>
      <c r="B123">
        <v>-23033.629999999899</v>
      </c>
      <c r="C123" t="s">
        <v>140</v>
      </c>
      <c r="D123">
        <v>-6777.9899999999898</v>
      </c>
      <c r="E123" t="s">
        <v>141</v>
      </c>
      <c r="F123">
        <v>0</v>
      </c>
    </row>
    <row r="124" spans="1:8">
      <c r="A124" t="s">
        <v>142</v>
      </c>
      <c r="B124">
        <v>6713.8899999999903</v>
      </c>
      <c r="C124" t="s">
        <v>143</v>
      </c>
      <c r="D124">
        <v>-21725.74</v>
      </c>
      <c r="E124" t="s">
        <v>144</v>
      </c>
      <c r="F124">
        <v>-424.11</v>
      </c>
      <c r="G124" t="s">
        <v>145</v>
      </c>
      <c r="H124">
        <v>165.31</v>
      </c>
    </row>
    <row r="125" spans="1:8">
      <c r="A125" t="s">
        <v>146</v>
      </c>
      <c r="B125">
        <v>406.93</v>
      </c>
      <c r="C125" t="s">
        <v>147</v>
      </c>
      <c r="D125">
        <v>-3.76</v>
      </c>
    </row>
    <row r="126" spans="1:8">
      <c r="A126" t="s">
        <v>148</v>
      </c>
      <c r="B126">
        <v>11234.78</v>
      </c>
      <c r="C126" t="s">
        <v>149</v>
      </c>
      <c r="D126">
        <v>-305.75372093023202</v>
      </c>
    </row>
    <row r="127" spans="1:8">
      <c r="A127" t="s">
        <v>150</v>
      </c>
      <c r="B127">
        <v>3166.0462790697602</v>
      </c>
      <c r="C127" t="s">
        <v>151</v>
      </c>
      <c r="D127" t="s">
        <v>170</v>
      </c>
      <c r="E127">
        <v>1839.78129848393</v>
      </c>
    </row>
    <row r="128" spans="1:8">
      <c r="A128" t="s">
        <v>153</v>
      </c>
    </row>
    <row r="130" spans="1:6">
      <c r="A130" t="s">
        <v>154</v>
      </c>
      <c r="C130" t="s">
        <v>155</v>
      </c>
      <c r="E130" t="s">
        <v>156</v>
      </c>
    </row>
    <row r="131" spans="1:6">
      <c r="A131" t="s">
        <v>3</v>
      </c>
      <c r="B131" t="s">
        <v>157</v>
      </c>
      <c r="C131" t="s">
        <v>3</v>
      </c>
      <c r="D131" t="s">
        <v>157</v>
      </c>
      <c r="E131" t="s">
        <v>3</v>
      </c>
      <c r="F131" t="s">
        <v>157</v>
      </c>
    </row>
    <row r="132" spans="1:6">
      <c r="A132" s="1">
        <v>39965</v>
      </c>
      <c r="B132">
        <v>0</v>
      </c>
      <c r="C132" s="1">
        <v>39965</v>
      </c>
      <c r="D132">
        <v>0</v>
      </c>
      <c r="E132" s="1">
        <v>40177</v>
      </c>
      <c r="F132">
        <v>0</v>
      </c>
    </row>
    <row r="133" spans="1:6">
      <c r="A133" s="1">
        <v>40177</v>
      </c>
      <c r="B133">
        <v>0</v>
      </c>
      <c r="C133" s="1">
        <v>40177</v>
      </c>
      <c r="D133">
        <v>302.11</v>
      </c>
      <c r="E133" s="1">
        <v>40186</v>
      </c>
      <c r="F133">
        <v>911.1</v>
      </c>
    </row>
    <row r="134" spans="1:6">
      <c r="A134" s="1">
        <v>40186</v>
      </c>
      <c r="B134">
        <v>-911.1</v>
      </c>
      <c r="C134" s="1">
        <v>40186</v>
      </c>
      <c r="D134">
        <v>911.1</v>
      </c>
      <c r="E134" s="1">
        <v>40187</v>
      </c>
      <c r="F134">
        <v>0</v>
      </c>
    </row>
    <row r="135" spans="1:6">
      <c r="A135" s="1">
        <v>40187</v>
      </c>
      <c r="B135">
        <v>16.32</v>
      </c>
      <c r="C135" s="1">
        <v>40187</v>
      </c>
      <c r="D135">
        <v>-16.32</v>
      </c>
      <c r="E135" s="1">
        <v>40211</v>
      </c>
      <c r="F135">
        <v>0</v>
      </c>
    </row>
    <row r="136" spans="1:6">
      <c r="A136" s="1">
        <v>40211</v>
      </c>
      <c r="B136">
        <v>-3797</v>
      </c>
      <c r="C136" s="1">
        <v>40211</v>
      </c>
      <c r="D136">
        <v>3797</v>
      </c>
      <c r="E136" s="1">
        <v>40219</v>
      </c>
      <c r="F136">
        <v>0</v>
      </c>
    </row>
    <row r="137" spans="1:6">
      <c r="A137" s="1">
        <v>40219</v>
      </c>
      <c r="B137">
        <v>151.18</v>
      </c>
      <c r="C137" s="1">
        <v>40219</v>
      </c>
      <c r="D137">
        <v>-151.18</v>
      </c>
      <c r="E137" s="1">
        <v>40252</v>
      </c>
      <c r="F137">
        <v>0</v>
      </c>
    </row>
    <row r="138" spans="1:6">
      <c r="A138" s="1">
        <v>40252</v>
      </c>
      <c r="B138">
        <v>-1434.8</v>
      </c>
      <c r="C138" s="1">
        <v>40252</v>
      </c>
      <c r="D138">
        <v>1434.8</v>
      </c>
      <c r="E138" s="1">
        <v>40265</v>
      </c>
      <c r="F138">
        <v>0</v>
      </c>
    </row>
    <row r="139" spans="1:6">
      <c r="A139" s="1">
        <v>40265</v>
      </c>
      <c r="B139">
        <v>7.61</v>
      </c>
      <c r="C139" s="1">
        <v>40265</v>
      </c>
      <c r="D139">
        <v>0</v>
      </c>
      <c r="E139" s="1">
        <v>40266</v>
      </c>
      <c r="F139">
        <v>0</v>
      </c>
    </row>
    <row r="140" spans="1:6">
      <c r="A140" s="1">
        <v>40266</v>
      </c>
      <c r="B140">
        <v>97.21</v>
      </c>
      <c r="C140" s="1">
        <v>40266</v>
      </c>
      <c r="D140">
        <v>0</v>
      </c>
      <c r="E140" s="1">
        <v>40268</v>
      </c>
      <c r="F140">
        <v>0</v>
      </c>
    </row>
    <row r="141" spans="1:6">
      <c r="A141" s="1">
        <v>40268</v>
      </c>
      <c r="B141">
        <v>-12.27</v>
      </c>
      <c r="C141" s="1">
        <v>40268</v>
      </c>
      <c r="D141">
        <v>12.27</v>
      </c>
      <c r="E141" s="1">
        <v>40276</v>
      </c>
      <c r="F141">
        <v>0</v>
      </c>
    </row>
    <row r="142" spans="1:6">
      <c r="A142" s="1">
        <v>40276</v>
      </c>
      <c r="B142">
        <v>-3.76</v>
      </c>
      <c r="C142" s="1">
        <v>40276</v>
      </c>
      <c r="D142">
        <v>0</v>
      </c>
      <c r="E142" s="1">
        <v>40283</v>
      </c>
      <c r="F142">
        <v>0</v>
      </c>
    </row>
    <row r="143" spans="1:6">
      <c r="A143" s="1">
        <v>40283</v>
      </c>
      <c r="B143">
        <v>927</v>
      </c>
      <c r="C143" s="1">
        <v>40283</v>
      </c>
      <c r="D143">
        <v>-927</v>
      </c>
      <c r="E143" s="1">
        <v>40296</v>
      </c>
      <c r="F143">
        <v>-329.28</v>
      </c>
    </row>
    <row r="144" spans="1:6">
      <c r="A144" s="1">
        <v>40296</v>
      </c>
      <c r="B144">
        <v>163.969999999999</v>
      </c>
      <c r="C144" s="1">
        <v>40296</v>
      </c>
      <c r="D144">
        <v>-163.969999999999</v>
      </c>
      <c r="E144" s="1">
        <v>40301</v>
      </c>
      <c r="F144">
        <v>0</v>
      </c>
    </row>
    <row r="145" spans="1:8">
      <c r="A145" s="1">
        <v>40301</v>
      </c>
      <c r="B145">
        <v>18012.400000000001</v>
      </c>
      <c r="C145" s="1">
        <v>40301</v>
      </c>
      <c r="D145">
        <v>-18012.400000000001</v>
      </c>
      <c r="E145" s="1">
        <v>40312</v>
      </c>
      <c r="F145">
        <v>0</v>
      </c>
    </row>
    <row r="146" spans="1:8">
      <c r="A146" s="1">
        <v>40312</v>
      </c>
      <c r="B146">
        <v>2457.06</v>
      </c>
      <c r="C146" s="1">
        <v>40312</v>
      </c>
      <c r="D146">
        <v>-2457.06</v>
      </c>
    </row>
    <row r="147" spans="1:8">
      <c r="A147" s="1">
        <v>40330</v>
      </c>
      <c r="B147">
        <v>0</v>
      </c>
      <c r="C147" s="1">
        <v>40330</v>
      </c>
      <c r="D147">
        <v>0</v>
      </c>
    </row>
    <row r="149" spans="1:8">
      <c r="A149" t="s">
        <v>158</v>
      </c>
      <c r="B149">
        <v>9.0994497864760895E-2</v>
      </c>
      <c r="C149" t="s">
        <v>159</v>
      </c>
      <c r="D149">
        <v>9.1482970733227198E-2</v>
      </c>
    </row>
    <row r="152" spans="1:8">
      <c r="A152" t="s">
        <v>125</v>
      </c>
    </row>
    <row r="154" spans="1:8">
      <c r="A154" t="s">
        <v>126</v>
      </c>
      <c r="B154" t="s">
        <v>27</v>
      </c>
      <c r="C154" t="s">
        <v>127</v>
      </c>
      <c r="D154" t="s">
        <v>168</v>
      </c>
      <c r="E154" t="s">
        <v>129</v>
      </c>
      <c r="F154" t="s">
        <v>171</v>
      </c>
    </row>
    <row r="155" spans="1:8">
      <c r="A155" t="s">
        <v>131</v>
      </c>
      <c r="B155">
        <v>20090601</v>
      </c>
      <c r="C155" t="s">
        <v>132</v>
      </c>
      <c r="D155">
        <v>20100601</v>
      </c>
    </row>
    <row r="156" spans="1:8">
      <c r="A156" t="s">
        <v>133</v>
      </c>
      <c r="B156">
        <v>11240.31</v>
      </c>
      <c r="C156" t="s">
        <v>134</v>
      </c>
      <c r="D156">
        <v>0</v>
      </c>
      <c r="E156" t="s">
        <v>135</v>
      </c>
      <c r="F156">
        <v>11240.31</v>
      </c>
    </row>
    <row r="157" spans="1:8">
      <c r="A157" t="s">
        <v>136</v>
      </c>
      <c r="B157">
        <v>27518.07</v>
      </c>
      <c r="C157" t="s">
        <v>137</v>
      </c>
      <c r="D157">
        <v>0</v>
      </c>
      <c r="E157" t="s">
        <v>138</v>
      </c>
      <c r="F157">
        <v>27518.07</v>
      </c>
    </row>
    <row r="158" spans="1:8">
      <c r="A158" t="s">
        <v>139</v>
      </c>
      <c r="B158">
        <v>0</v>
      </c>
      <c r="C158" t="s">
        <v>140</v>
      </c>
      <c r="D158">
        <v>0</v>
      </c>
      <c r="E158" t="s">
        <v>141</v>
      </c>
      <c r="F158">
        <v>0</v>
      </c>
    </row>
    <row r="159" spans="1:8">
      <c r="A159" t="s">
        <v>142</v>
      </c>
      <c r="B159">
        <v>0</v>
      </c>
      <c r="C159" t="s">
        <v>143</v>
      </c>
      <c r="D159">
        <v>0</v>
      </c>
      <c r="E159" t="s">
        <v>144</v>
      </c>
      <c r="F159">
        <v>0</v>
      </c>
      <c r="G159" t="s">
        <v>145</v>
      </c>
      <c r="H159">
        <v>0</v>
      </c>
    </row>
    <row r="160" spans="1:8">
      <c r="A160" t="s">
        <v>146</v>
      </c>
      <c r="B160">
        <v>22.12</v>
      </c>
      <c r="C160" t="s">
        <v>147</v>
      </c>
      <c r="D160">
        <v>0</v>
      </c>
    </row>
    <row r="161" spans="1:6">
      <c r="A161" t="s">
        <v>148</v>
      </c>
      <c r="B161">
        <v>0</v>
      </c>
      <c r="C161" t="s">
        <v>149</v>
      </c>
      <c r="D161">
        <v>0</v>
      </c>
    </row>
    <row r="162" spans="1:6">
      <c r="A162" t="s">
        <v>150</v>
      </c>
      <c r="B162">
        <v>0</v>
      </c>
      <c r="C162" t="s">
        <v>151</v>
      </c>
      <c r="D162" t="s">
        <v>163</v>
      </c>
      <c r="E162">
        <v>0</v>
      </c>
    </row>
    <row r="163" spans="1:6">
      <c r="A163" t="s">
        <v>153</v>
      </c>
    </row>
    <row r="165" spans="1:6">
      <c r="A165" t="s">
        <v>154</v>
      </c>
      <c r="C165" t="s">
        <v>155</v>
      </c>
      <c r="E165" t="s">
        <v>156</v>
      </c>
    </row>
    <row r="166" spans="1:6">
      <c r="A166" t="s">
        <v>3</v>
      </c>
      <c r="B166" t="s">
        <v>157</v>
      </c>
      <c r="C166" t="s">
        <v>3</v>
      </c>
      <c r="D166" t="s">
        <v>157</v>
      </c>
      <c r="E166" t="s">
        <v>3</v>
      </c>
      <c r="F166" t="s">
        <v>157</v>
      </c>
    </row>
    <row r="167" spans="1:6">
      <c r="A167" s="1">
        <v>39965</v>
      </c>
      <c r="B167">
        <v>-11240.31</v>
      </c>
      <c r="C167" s="1">
        <v>39965</v>
      </c>
      <c r="D167">
        <v>0</v>
      </c>
    </row>
    <row r="168" spans="1:6">
      <c r="A168" s="1">
        <v>40177</v>
      </c>
      <c r="B168">
        <v>0</v>
      </c>
      <c r="C168" s="1">
        <v>40177</v>
      </c>
      <c r="D168">
        <v>0</v>
      </c>
    </row>
    <row r="169" spans="1:6">
      <c r="A169" s="1">
        <v>40178</v>
      </c>
      <c r="B169">
        <v>22.12</v>
      </c>
      <c r="C169" s="1">
        <v>40178</v>
      </c>
      <c r="D169">
        <v>0</v>
      </c>
    </row>
    <row r="170" spans="1:6">
      <c r="A170" s="1">
        <v>40186</v>
      </c>
      <c r="B170">
        <v>0</v>
      </c>
      <c r="C170" s="1">
        <v>40186</v>
      </c>
      <c r="D170">
        <v>0</v>
      </c>
    </row>
    <row r="171" spans="1:6">
      <c r="A171" s="1">
        <v>40187</v>
      </c>
      <c r="B171">
        <v>-16.32</v>
      </c>
      <c r="C171" s="1">
        <v>40187</v>
      </c>
      <c r="D171">
        <v>16.32</v>
      </c>
    </row>
    <row r="172" spans="1:6">
      <c r="A172" s="1">
        <v>40211</v>
      </c>
      <c r="B172">
        <v>3797</v>
      </c>
      <c r="C172" s="1">
        <v>40211</v>
      </c>
      <c r="D172">
        <v>-3797</v>
      </c>
    </row>
    <row r="173" spans="1:6">
      <c r="A173" s="1">
        <v>40219</v>
      </c>
      <c r="B173">
        <v>-151.18</v>
      </c>
      <c r="C173" s="1">
        <v>40219</v>
      </c>
      <c r="D173">
        <v>151.18</v>
      </c>
    </row>
    <row r="174" spans="1:6">
      <c r="A174" s="1">
        <v>40252</v>
      </c>
      <c r="B174">
        <v>1434.8</v>
      </c>
      <c r="C174" s="1">
        <v>40252</v>
      </c>
      <c r="D174">
        <v>-1434.8</v>
      </c>
    </row>
    <row r="175" spans="1:6">
      <c r="A175" s="1">
        <v>40265</v>
      </c>
      <c r="B175">
        <v>-7.61</v>
      </c>
      <c r="C175" s="1">
        <v>40265</v>
      </c>
      <c r="D175">
        <v>7.61</v>
      </c>
    </row>
    <row r="176" spans="1:6">
      <c r="A176" s="1">
        <v>40266</v>
      </c>
      <c r="B176">
        <v>-97.21</v>
      </c>
      <c r="C176" s="1">
        <v>40266</v>
      </c>
      <c r="D176">
        <v>97.21</v>
      </c>
    </row>
    <row r="177" spans="1:6">
      <c r="A177" s="1">
        <v>40268</v>
      </c>
      <c r="B177">
        <v>12.27</v>
      </c>
      <c r="C177" s="1">
        <v>40268</v>
      </c>
      <c r="D177">
        <v>-12.27</v>
      </c>
    </row>
    <row r="178" spans="1:6">
      <c r="A178" s="1">
        <v>40276</v>
      </c>
      <c r="B178">
        <v>3.76</v>
      </c>
      <c r="C178" s="1">
        <v>40276</v>
      </c>
      <c r="D178">
        <v>-3.76</v>
      </c>
    </row>
    <row r="179" spans="1:6">
      <c r="A179" s="1">
        <v>40283</v>
      </c>
      <c r="B179">
        <v>-927</v>
      </c>
      <c r="C179" s="1">
        <v>40283</v>
      </c>
      <c r="D179">
        <v>927</v>
      </c>
    </row>
    <row r="180" spans="1:6">
      <c r="A180" s="1">
        <v>40296</v>
      </c>
      <c r="B180">
        <v>165.31</v>
      </c>
      <c r="C180" s="1">
        <v>40296</v>
      </c>
      <c r="D180">
        <v>-165.31</v>
      </c>
    </row>
    <row r="181" spans="1:6">
      <c r="A181" s="1">
        <v>40301</v>
      </c>
      <c r="B181">
        <v>-18012.400000000001</v>
      </c>
      <c r="C181" s="1">
        <v>40301</v>
      </c>
      <c r="D181">
        <v>18012.400000000001</v>
      </c>
    </row>
    <row r="182" spans="1:6">
      <c r="A182" s="1">
        <v>40312</v>
      </c>
      <c r="B182">
        <v>-2457.06</v>
      </c>
      <c r="C182" s="1">
        <v>40312</v>
      </c>
      <c r="D182">
        <v>2457.06</v>
      </c>
    </row>
    <row r="183" spans="1:6">
      <c r="A183" s="1">
        <v>40330</v>
      </c>
      <c r="B183">
        <v>27518.07</v>
      </c>
      <c r="C183" s="1">
        <v>40330</v>
      </c>
      <c r="D183">
        <v>0</v>
      </c>
    </row>
    <row r="185" spans="1:6">
      <c r="A185" t="s">
        <v>158</v>
      </c>
      <c r="B185">
        <v>3.8738515819492902E-3</v>
      </c>
      <c r="C185" t="s">
        <v>159</v>
      </c>
      <c r="D185">
        <v>3.8773010351289502E-3</v>
      </c>
    </row>
    <row r="188" spans="1:6">
      <c r="A188" t="s">
        <v>125</v>
      </c>
    </row>
    <row r="190" spans="1:6">
      <c r="A190" t="s">
        <v>126</v>
      </c>
      <c r="B190" t="s">
        <v>27</v>
      </c>
      <c r="C190" t="s">
        <v>127</v>
      </c>
      <c r="D190" t="s">
        <v>168</v>
      </c>
      <c r="E190" t="s">
        <v>129</v>
      </c>
      <c r="F190" t="s">
        <v>172</v>
      </c>
    </row>
    <row r="191" spans="1:6">
      <c r="A191" t="s">
        <v>131</v>
      </c>
      <c r="B191">
        <v>20090601</v>
      </c>
      <c r="C191" t="s">
        <v>132</v>
      </c>
      <c r="D191">
        <v>20100601</v>
      </c>
    </row>
    <row r="192" spans="1:6">
      <c r="A192" t="s">
        <v>133</v>
      </c>
      <c r="B192">
        <v>0</v>
      </c>
      <c r="C192" t="s">
        <v>134</v>
      </c>
      <c r="D192">
        <v>0</v>
      </c>
      <c r="E192" t="s">
        <v>135</v>
      </c>
      <c r="F192">
        <v>35596.208701516</v>
      </c>
    </row>
    <row r="193" spans="1:8">
      <c r="A193" t="s">
        <v>136</v>
      </c>
      <c r="B193">
        <v>0</v>
      </c>
      <c r="C193" t="s">
        <v>137</v>
      </c>
      <c r="D193">
        <v>0</v>
      </c>
      <c r="E193" t="s">
        <v>138</v>
      </c>
      <c r="F193">
        <v>38443.1</v>
      </c>
    </row>
    <row r="194" spans="1:8">
      <c r="A194" t="s">
        <v>139</v>
      </c>
      <c r="B194">
        <v>-8759.6899999999896</v>
      </c>
      <c r="C194" t="s">
        <v>140</v>
      </c>
      <c r="D194">
        <v>7518.07</v>
      </c>
      <c r="E194" t="s">
        <v>141</v>
      </c>
      <c r="F194">
        <v>0</v>
      </c>
    </row>
    <row r="195" spans="1:8">
      <c r="A195" t="s">
        <v>142</v>
      </c>
      <c r="B195">
        <v>6713.8899999999903</v>
      </c>
      <c r="C195" t="s">
        <v>143</v>
      </c>
      <c r="D195">
        <v>-21725.74</v>
      </c>
      <c r="E195" t="s">
        <v>144</v>
      </c>
      <c r="F195">
        <v>-424.11</v>
      </c>
      <c r="G195" t="s">
        <v>145</v>
      </c>
      <c r="H195">
        <v>165.31</v>
      </c>
    </row>
    <row r="196" spans="1:8">
      <c r="A196" t="s">
        <v>146</v>
      </c>
      <c r="B196">
        <v>429.05</v>
      </c>
      <c r="C196" t="s">
        <v>147</v>
      </c>
      <c r="D196">
        <v>-3.76</v>
      </c>
    </row>
    <row r="197" spans="1:8">
      <c r="A197" t="s">
        <v>148</v>
      </c>
      <c r="B197">
        <v>11234.78</v>
      </c>
      <c r="C197" t="s">
        <v>149</v>
      </c>
      <c r="D197">
        <v>-305.75372093023202</v>
      </c>
    </row>
    <row r="198" spans="1:8">
      <c r="A198" t="s">
        <v>150</v>
      </c>
      <c r="B198">
        <v>3166.0462790697602</v>
      </c>
      <c r="C198" t="s">
        <v>151</v>
      </c>
      <c r="D198" t="s">
        <v>170</v>
      </c>
      <c r="E198">
        <v>1839.78129848393</v>
      </c>
    </row>
    <row r="199" spans="1:8">
      <c r="A199" t="s">
        <v>153</v>
      </c>
    </row>
    <row r="201" spans="1:8">
      <c r="A201" t="s">
        <v>154</v>
      </c>
      <c r="C201" t="s">
        <v>155</v>
      </c>
      <c r="E201" t="s">
        <v>156</v>
      </c>
    </row>
    <row r="202" spans="1:8">
      <c r="A202" t="s">
        <v>3</v>
      </c>
      <c r="B202" t="s">
        <v>157</v>
      </c>
      <c r="C202" t="s">
        <v>3</v>
      </c>
      <c r="D202" t="s">
        <v>157</v>
      </c>
      <c r="E202" t="s">
        <v>3</v>
      </c>
      <c r="F202" t="s">
        <v>157</v>
      </c>
    </row>
    <row r="203" spans="1:8">
      <c r="A203" s="1">
        <v>39965</v>
      </c>
      <c r="B203">
        <v>-35596.208701516</v>
      </c>
      <c r="C203" s="1">
        <v>39965</v>
      </c>
      <c r="D203">
        <v>0</v>
      </c>
      <c r="E203" s="1">
        <v>39965</v>
      </c>
      <c r="F203">
        <v>0</v>
      </c>
    </row>
    <row r="204" spans="1:8">
      <c r="A204" s="1">
        <v>40177</v>
      </c>
      <c r="B204">
        <v>0</v>
      </c>
      <c r="C204" s="1">
        <v>40177</v>
      </c>
      <c r="D204">
        <v>0</v>
      </c>
      <c r="E204" s="1">
        <v>40177</v>
      </c>
      <c r="F204">
        <v>0</v>
      </c>
    </row>
    <row r="205" spans="1:8">
      <c r="A205" s="1">
        <v>40178</v>
      </c>
      <c r="B205">
        <v>0</v>
      </c>
      <c r="C205" s="1">
        <v>40178</v>
      </c>
      <c r="D205">
        <v>0</v>
      </c>
      <c r="E205" s="1">
        <v>40178</v>
      </c>
      <c r="F205">
        <v>0</v>
      </c>
    </row>
    <row r="206" spans="1:8">
      <c r="A206" s="1">
        <v>40186</v>
      </c>
      <c r="B206">
        <v>-911.1</v>
      </c>
      <c r="C206" s="1">
        <v>40186</v>
      </c>
      <c r="D206">
        <v>911.1</v>
      </c>
      <c r="E206" s="1">
        <v>40186</v>
      </c>
      <c r="F206">
        <v>911.1</v>
      </c>
    </row>
    <row r="207" spans="1:8">
      <c r="A207" s="1">
        <v>40187</v>
      </c>
      <c r="B207">
        <v>0</v>
      </c>
      <c r="C207" s="1">
        <v>40187</v>
      </c>
      <c r="D207">
        <v>0</v>
      </c>
      <c r="E207" s="1">
        <v>40187</v>
      </c>
      <c r="F207">
        <v>0</v>
      </c>
    </row>
    <row r="208" spans="1:8">
      <c r="A208" s="1">
        <v>40211</v>
      </c>
      <c r="B208">
        <v>0</v>
      </c>
      <c r="C208" s="1">
        <v>40211</v>
      </c>
      <c r="D208">
        <v>0</v>
      </c>
      <c r="E208" s="1">
        <v>40211</v>
      </c>
      <c r="F208">
        <v>0</v>
      </c>
    </row>
    <row r="209" spans="1:6">
      <c r="A209" s="1">
        <v>40219</v>
      </c>
      <c r="B209">
        <v>0</v>
      </c>
      <c r="C209" s="1">
        <v>40219</v>
      </c>
      <c r="D209">
        <v>0</v>
      </c>
      <c r="E209" s="1">
        <v>40219</v>
      </c>
      <c r="F209">
        <v>0</v>
      </c>
    </row>
    <row r="210" spans="1:6">
      <c r="A210" s="1">
        <v>40252</v>
      </c>
      <c r="B210">
        <v>0</v>
      </c>
      <c r="C210" s="1">
        <v>40252</v>
      </c>
      <c r="D210">
        <v>0</v>
      </c>
      <c r="E210" s="1">
        <v>40252</v>
      </c>
      <c r="F210">
        <v>0</v>
      </c>
    </row>
    <row r="211" spans="1:6">
      <c r="A211" s="1">
        <v>40265</v>
      </c>
      <c r="B211">
        <v>0</v>
      </c>
      <c r="C211" s="1">
        <v>40265</v>
      </c>
      <c r="D211">
        <v>0</v>
      </c>
      <c r="E211" s="1">
        <v>40265</v>
      </c>
      <c r="F211">
        <v>0</v>
      </c>
    </row>
    <row r="212" spans="1:6">
      <c r="A212" s="1">
        <v>40266</v>
      </c>
      <c r="B212">
        <v>0</v>
      </c>
      <c r="C212" s="1">
        <v>40266</v>
      </c>
      <c r="D212">
        <v>0</v>
      </c>
      <c r="E212" s="1">
        <v>40266</v>
      </c>
      <c r="F212">
        <v>0</v>
      </c>
    </row>
    <row r="213" spans="1:6">
      <c r="A213" s="1">
        <v>40268</v>
      </c>
      <c r="B213">
        <v>0</v>
      </c>
      <c r="C213" s="1">
        <v>40268</v>
      </c>
      <c r="D213">
        <v>0</v>
      </c>
      <c r="E213" s="1">
        <v>40268</v>
      </c>
      <c r="F213">
        <v>0</v>
      </c>
    </row>
    <row r="214" spans="1:6">
      <c r="A214" s="1">
        <v>40276</v>
      </c>
      <c r="B214">
        <v>0</v>
      </c>
      <c r="C214" s="1">
        <v>40276</v>
      </c>
      <c r="D214">
        <v>0</v>
      </c>
      <c r="E214" s="1">
        <v>40276</v>
      </c>
      <c r="F214">
        <v>0</v>
      </c>
    </row>
    <row r="215" spans="1:6">
      <c r="A215" s="1">
        <v>40283</v>
      </c>
      <c r="B215">
        <v>0</v>
      </c>
      <c r="C215" s="1">
        <v>40283</v>
      </c>
      <c r="D215">
        <v>0</v>
      </c>
      <c r="E215" s="1">
        <v>40283</v>
      </c>
      <c r="F215">
        <v>0</v>
      </c>
    </row>
    <row r="216" spans="1:6">
      <c r="A216" s="1">
        <v>40296</v>
      </c>
      <c r="B216">
        <v>329.28</v>
      </c>
      <c r="C216" s="1">
        <v>40296</v>
      </c>
      <c r="D216">
        <v>-329.28</v>
      </c>
      <c r="E216" s="1">
        <v>40296</v>
      </c>
      <c r="F216">
        <v>-329.28</v>
      </c>
    </row>
    <row r="217" spans="1:6">
      <c r="A217" s="1">
        <v>40301</v>
      </c>
      <c r="B217">
        <v>0</v>
      </c>
      <c r="C217" s="1">
        <v>40301</v>
      </c>
      <c r="D217">
        <v>0</v>
      </c>
      <c r="E217" s="1">
        <v>40301</v>
      </c>
      <c r="F217">
        <v>0</v>
      </c>
    </row>
    <row r="218" spans="1:6">
      <c r="A218" s="1">
        <v>40312</v>
      </c>
      <c r="B218">
        <v>0</v>
      </c>
      <c r="C218" s="1">
        <v>40312</v>
      </c>
      <c r="D218">
        <v>0</v>
      </c>
      <c r="E218" s="1">
        <v>40312</v>
      </c>
      <c r="F218">
        <v>0</v>
      </c>
    </row>
    <row r="219" spans="1:6">
      <c r="A219" s="1">
        <v>40330</v>
      </c>
      <c r="B219">
        <v>38443.1</v>
      </c>
      <c r="C219" s="1">
        <v>40330</v>
      </c>
      <c r="D219">
        <v>0</v>
      </c>
      <c r="E219" s="1">
        <v>40330</v>
      </c>
      <c r="F219">
        <v>0</v>
      </c>
    </row>
    <row r="221" spans="1:6">
      <c r="A221" t="s">
        <v>158</v>
      </c>
      <c r="B221">
        <v>6.3050029930136101E-2</v>
      </c>
      <c r="C221" t="s">
        <v>159</v>
      </c>
      <c r="D221">
        <v>6.3060204292297597E-2</v>
      </c>
    </row>
    <row r="224" spans="1:6">
      <c r="A224" t="s">
        <v>125</v>
      </c>
    </row>
    <row r="226" spans="1:8">
      <c r="A226" t="s">
        <v>126</v>
      </c>
      <c r="B226" t="s">
        <v>72</v>
      </c>
      <c r="C226" t="s">
        <v>127</v>
      </c>
      <c r="D226" t="s">
        <v>173</v>
      </c>
      <c r="E226" t="s">
        <v>129</v>
      </c>
      <c r="F226" t="s">
        <v>130</v>
      </c>
    </row>
    <row r="227" spans="1:8">
      <c r="A227" t="s">
        <v>131</v>
      </c>
      <c r="B227">
        <v>20090601</v>
      </c>
      <c r="C227" t="s">
        <v>132</v>
      </c>
      <c r="D227">
        <v>20100601</v>
      </c>
    </row>
    <row r="228" spans="1:8">
      <c r="A228" t="s">
        <v>133</v>
      </c>
      <c r="B228">
        <v>0</v>
      </c>
      <c r="C228" t="s">
        <v>134</v>
      </c>
      <c r="D228">
        <v>14.44</v>
      </c>
      <c r="E228" t="s">
        <v>135</v>
      </c>
      <c r="F228">
        <v>0</v>
      </c>
    </row>
    <row r="229" spans="1:8">
      <c r="A229" t="s">
        <v>136</v>
      </c>
      <c r="B229">
        <v>0</v>
      </c>
      <c r="C229" t="s">
        <v>137</v>
      </c>
      <c r="D229">
        <v>14.37</v>
      </c>
      <c r="E229" t="s">
        <v>138</v>
      </c>
      <c r="F229">
        <v>0</v>
      </c>
    </row>
    <row r="230" spans="1:8">
      <c r="A230" t="s">
        <v>139</v>
      </c>
      <c r="B230">
        <v>0</v>
      </c>
      <c r="C230" t="s">
        <v>140</v>
      </c>
      <c r="D230">
        <v>351.55</v>
      </c>
      <c r="E230" t="s">
        <v>141</v>
      </c>
      <c r="F230">
        <v>0</v>
      </c>
    </row>
    <row r="231" spans="1:8">
      <c r="A231" t="s">
        <v>142</v>
      </c>
      <c r="B231">
        <v>3177.14</v>
      </c>
      <c r="C231" t="s">
        <v>143</v>
      </c>
      <c r="D231">
        <v>-3507.21</v>
      </c>
      <c r="E231" t="s">
        <v>144</v>
      </c>
      <c r="F231">
        <v>0</v>
      </c>
      <c r="G231" t="s">
        <v>145</v>
      </c>
      <c r="H231">
        <v>0</v>
      </c>
    </row>
    <row r="232" spans="1:8">
      <c r="A232" t="s">
        <v>146</v>
      </c>
      <c r="B232">
        <v>21.479999999999901</v>
      </c>
      <c r="C232" t="s">
        <v>147</v>
      </c>
      <c r="D232">
        <v>0</v>
      </c>
    </row>
    <row r="233" spans="1:8">
      <c r="A233" t="s">
        <v>148</v>
      </c>
      <c r="B233">
        <v>0</v>
      </c>
      <c r="C233" t="s">
        <v>149</v>
      </c>
      <c r="D233">
        <v>0</v>
      </c>
    </row>
    <row r="234" spans="1:8">
      <c r="A234" t="s">
        <v>150</v>
      </c>
      <c r="B234">
        <v>330.07</v>
      </c>
      <c r="C234" t="s">
        <v>151</v>
      </c>
      <c r="D234" t="s">
        <v>163</v>
      </c>
      <c r="E234">
        <v>330.07</v>
      </c>
    </row>
    <row r="235" spans="1:8">
      <c r="A235" t="s">
        <v>153</v>
      </c>
    </row>
    <row r="237" spans="1:8">
      <c r="A237" t="s">
        <v>154</v>
      </c>
      <c r="C237" t="s">
        <v>155</v>
      </c>
      <c r="E237" t="s">
        <v>156</v>
      </c>
    </row>
    <row r="238" spans="1:8">
      <c r="A238" t="s">
        <v>3</v>
      </c>
      <c r="B238" t="s">
        <v>157</v>
      </c>
      <c r="C238" t="s">
        <v>3</v>
      </c>
      <c r="D238" t="s">
        <v>157</v>
      </c>
      <c r="E238" t="s">
        <v>3</v>
      </c>
      <c r="F238" t="s">
        <v>157</v>
      </c>
    </row>
    <row r="239" spans="1:8">
      <c r="A239" s="1">
        <v>40049</v>
      </c>
      <c r="B239">
        <v>-3177.14</v>
      </c>
      <c r="C239" s="1">
        <v>40049</v>
      </c>
      <c r="D239">
        <v>3177.14</v>
      </c>
      <c r="E239" s="1">
        <v>40049</v>
      </c>
      <c r="F239">
        <v>0</v>
      </c>
    </row>
    <row r="240" spans="1:8">
      <c r="A240" s="1">
        <v>40074</v>
      </c>
      <c r="B240">
        <v>10.199999999999999</v>
      </c>
      <c r="C240" s="1">
        <v>40074</v>
      </c>
      <c r="D240">
        <v>0</v>
      </c>
      <c r="E240" s="1">
        <v>40074</v>
      </c>
      <c r="F240">
        <v>0</v>
      </c>
    </row>
    <row r="241" spans="1:8">
      <c r="A241" s="1">
        <v>40165</v>
      </c>
      <c r="B241">
        <v>11.28</v>
      </c>
      <c r="C241" s="1">
        <v>40165</v>
      </c>
      <c r="D241">
        <v>0</v>
      </c>
      <c r="E241" s="1">
        <v>40165</v>
      </c>
      <c r="F241">
        <v>0</v>
      </c>
    </row>
    <row r="242" spans="1:8">
      <c r="A242" s="1">
        <v>40273</v>
      </c>
      <c r="B242">
        <v>3507.21</v>
      </c>
      <c r="C242" s="1">
        <v>40273</v>
      </c>
      <c r="D242">
        <v>-3507.21</v>
      </c>
      <c r="E242" s="1">
        <v>40273</v>
      </c>
      <c r="F242">
        <v>0</v>
      </c>
    </row>
    <row r="244" spans="1:8">
      <c r="A244" t="s">
        <v>158</v>
      </c>
      <c r="B244">
        <v>0.110649829721069</v>
      </c>
      <c r="C244" t="s">
        <v>159</v>
      </c>
      <c r="D244">
        <v>0.18736702623006701</v>
      </c>
    </row>
    <row r="247" spans="1:8">
      <c r="A247" t="s">
        <v>125</v>
      </c>
    </row>
    <row r="249" spans="1:8">
      <c r="A249" t="s">
        <v>126</v>
      </c>
      <c r="B249" t="s">
        <v>57</v>
      </c>
      <c r="C249" t="s">
        <v>127</v>
      </c>
      <c r="D249" t="s">
        <v>160</v>
      </c>
      <c r="E249" t="s">
        <v>129</v>
      </c>
      <c r="F249" t="s">
        <v>130</v>
      </c>
    </row>
    <row r="250" spans="1:8">
      <c r="A250" t="s">
        <v>131</v>
      </c>
      <c r="B250">
        <v>20090601</v>
      </c>
      <c r="C250" t="s">
        <v>132</v>
      </c>
      <c r="D250">
        <v>20100601</v>
      </c>
    </row>
    <row r="251" spans="1:8">
      <c r="A251" t="s">
        <v>133</v>
      </c>
      <c r="B251">
        <v>0</v>
      </c>
      <c r="C251" t="s">
        <v>134</v>
      </c>
      <c r="D251">
        <v>11.68</v>
      </c>
      <c r="E251" t="s">
        <v>135</v>
      </c>
      <c r="F251">
        <v>0</v>
      </c>
    </row>
    <row r="252" spans="1:8">
      <c r="A252" t="s">
        <v>136</v>
      </c>
      <c r="B252">
        <v>197</v>
      </c>
      <c r="C252" t="s">
        <v>137</v>
      </c>
      <c r="D252">
        <v>13.09</v>
      </c>
      <c r="E252" t="s">
        <v>138</v>
      </c>
      <c r="F252">
        <v>2578.73</v>
      </c>
    </row>
    <row r="253" spans="1:8">
      <c r="A253" t="s">
        <v>139</v>
      </c>
      <c r="B253">
        <v>0</v>
      </c>
      <c r="C253" t="s">
        <v>140</v>
      </c>
      <c r="D253">
        <v>-2986.91</v>
      </c>
      <c r="E253" t="s">
        <v>141</v>
      </c>
      <c r="F253">
        <v>0</v>
      </c>
    </row>
    <row r="254" spans="1:8">
      <c r="A254" t="s">
        <v>142</v>
      </c>
      <c r="B254">
        <v>2986.91</v>
      </c>
      <c r="C254" t="s">
        <v>143</v>
      </c>
      <c r="D254">
        <v>0</v>
      </c>
      <c r="E254" t="s">
        <v>144</v>
      </c>
      <c r="F254">
        <v>0</v>
      </c>
      <c r="G254" t="s">
        <v>145</v>
      </c>
      <c r="H254">
        <v>0</v>
      </c>
    </row>
    <row r="255" spans="1:8">
      <c r="A255" t="s">
        <v>146</v>
      </c>
      <c r="B255">
        <v>0</v>
      </c>
      <c r="C255" t="s">
        <v>147</v>
      </c>
      <c r="D255">
        <v>0</v>
      </c>
    </row>
    <row r="256" spans="1:8">
      <c r="A256" t="s">
        <v>148</v>
      </c>
      <c r="B256">
        <v>2986.91</v>
      </c>
      <c r="C256" t="s">
        <v>149</v>
      </c>
      <c r="D256">
        <v>0</v>
      </c>
    </row>
    <row r="257" spans="1:6">
      <c r="A257" t="s">
        <v>150</v>
      </c>
      <c r="B257">
        <v>0</v>
      </c>
      <c r="C257" t="s">
        <v>151</v>
      </c>
      <c r="D257" t="s">
        <v>174</v>
      </c>
      <c r="E257">
        <v>-408.17999999999898</v>
      </c>
    </row>
    <row r="258" spans="1:6">
      <c r="A258" t="s">
        <v>153</v>
      </c>
    </row>
    <row r="260" spans="1:6">
      <c r="A260" t="s">
        <v>154</v>
      </c>
      <c r="C260" t="s">
        <v>155</v>
      </c>
      <c r="E260" t="s">
        <v>156</v>
      </c>
    </row>
    <row r="261" spans="1:6">
      <c r="A261" t="s">
        <v>3</v>
      </c>
      <c r="B261" t="s">
        <v>157</v>
      </c>
      <c r="C261" t="s">
        <v>3</v>
      </c>
      <c r="D261" t="s">
        <v>157</v>
      </c>
      <c r="E261" t="s">
        <v>3</v>
      </c>
      <c r="F261" t="s">
        <v>157</v>
      </c>
    </row>
    <row r="262" spans="1:6">
      <c r="A262" s="1">
        <v>40266</v>
      </c>
      <c r="B262">
        <v>-2986.91</v>
      </c>
      <c r="C262" s="1">
        <v>40266</v>
      </c>
      <c r="D262">
        <v>2986.91</v>
      </c>
      <c r="E262" s="1">
        <v>40266</v>
      </c>
      <c r="F262">
        <v>0</v>
      </c>
    </row>
    <row r="263" spans="1:6">
      <c r="A263" s="1">
        <v>40330</v>
      </c>
      <c r="B263">
        <v>0</v>
      </c>
      <c r="C263" s="1">
        <v>40330</v>
      </c>
      <c r="D263">
        <v>0</v>
      </c>
    </row>
    <row r="265" spans="1:6">
      <c r="A265" t="s">
        <v>158</v>
      </c>
      <c r="B265">
        <v>-0.13665627688815499</v>
      </c>
      <c r="C265" t="s">
        <v>159</v>
      </c>
      <c r="D265">
        <v>-0.56743849411894798</v>
      </c>
    </row>
    <row r="268" spans="1:6">
      <c r="A268" t="s">
        <v>125</v>
      </c>
    </row>
    <row r="270" spans="1:6">
      <c r="A270" t="s">
        <v>126</v>
      </c>
      <c r="B270" t="s">
        <v>35</v>
      </c>
      <c r="C270" t="s">
        <v>127</v>
      </c>
      <c r="D270" t="s">
        <v>168</v>
      </c>
      <c r="E270" t="s">
        <v>129</v>
      </c>
      <c r="F270" t="s">
        <v>169</v>
      </c>
    </row>
    <row r="271" spans="1:6">
      <c r="A271" t="s">
        <v>131</v>
      </c>
      <c r="B271">
        <v>20090601</v>
      </c>
      <c r="C271" t="s">
        <v>132</v>
      </c>
      <c r="D271">
        <v>20100601</v>
      </c>
    </row>
    <row r="272" spans="1:6">
      <c r="A272" t="s">
        <v>133</v>
      </c>
      <c r="B272">
        <v>0</v>
      </c>
      <c r="C272" t="s">
        <v>134</v>
      </c>
      <c r="D272">
        <v>0</v>
      </c>
      <c r="E272" t="s">
        <v>135</v>
      </c>
      <c r="F272">
        <v>0</v>
      </c>
    </row>
    <row r="273" spans="1:8">
      <c r="A273" t="s">
        <v>136</v>
      </c>
      <c r="B273">
        <v>0</v>
      </c>
      <c r="C273" t="s">
        <v>137</v>
      </c>
      <c r="D273">
        <v>0</v>
      </c>
      <c r="E273" t="s">
        <v>138</v>
      </c>
      <c r="F273">
        <v>2578.73</v>
      </c>
    </row>
    <row r="274" spans="1:8">
      <c r="A274" t="s">
        <v>139</v>
      </c>
      <c r="B274">
        <v>0</v>
      </c>
      <c r="C274" t="s">
        <v>140</v>
      </c>
      <c r="D274">
        <v>-2635.3599999999901</v>
      </c>
      <c r="E274" t="s">
        <v>141</v>
      </c>
      <c r="F274">
        <v>0</v>
      </c>
    </row>
    <row r="275" spans="1:8">
      <c r="A275" t="s">
        <v>142</v>
      </c>
      <c r="B275">
        <v>6164.0499999999902</v>
      </c>
      <c r="C275" t="s">
        <v>143</v>
      </c>
      <c r="D275">
        <v>-3507.21</v>
      </c>
      <c r="E275" t="s">
        <v>144</v>
      </c>
      <c r="F275">
        <v>0</v>
      </c>
      <c r="G275" t="s">
        <v>145</v>
      </c>
      <c r="H275">
        <v>0</v>
      </c>
    </row>
    <row r="276" spans="1:8">
      <c r="A276" t="s">
        <v>146</v>
      </c>
      <c r="B276">
        <v>21.479999999999901</v>
      </c>
      <c r="C276" t="s">
        <v>147</v>
      </c>
      <c r="D276">
        <v>0</v>
      </c>
    </row>
    <row r="277" spans="1:8">
      <c r="A277" t="s">
        <v>148</v>
      </c>
      <c r="B277">
        <v>2986.91</v>
      </c>
      <c r="C277" t="s">
        <v>149</v>
      </c>
      <c r="D277">
        <v>0</v>
      </c>
    </row>
    <row r="278" spans="1:8">
      <c r="A278" t="s">
        <v>150</v>
      </c>
      <c r="B278">
        <v>330.07</v>
      </c>
      <c r="C278" t="s">
        <v>151</v>
      </c>
      <c r="D278" t="s">
        <v>174</v>
      </c>
      <c r="E278">
        <v>-78.109999999999701</v>
      </c>
    </row>
    <row r="279" spans="1:8">
      <c r="A279" t="s">
        <v>153</v>
      </c>
    </row>
    <row r="281" spans="1:8">
      <c r="A281" t="s">
        <v>154</v>
      </c>
      <c r="C281" t="s">
        <v>155</v>
      </c>
      <c r="E281" t="s">
        <v>156</v>
      </c>
    </row>
    <row r="282" spans="1:8">
      <c r="A282" t="s">
        <v>3</v>
      </c>
      <c r="B282" t="s">
        <v>157</v>
      </c>
      <c r="C282" t="s">
        <v>3</v>
      </c>
      <c r="D282" t="s">
        <v>157</v>
      </c>
      <c r="E282" t="s">
        <v>3</v>
      </c>
      <c r="F282" t="s">
        <v>157</v>
      </c>
    </row>
    <row r="283" spans="1:8">
      <c r="A283" s="1">
        <v>40049</v>
      </c>
      <c r="B283">
        <v>-3177.14</v>
      </c>
      <c r="C283" s="1">
        <v>40049</v>
      </c>
      <c r="D283">
        <v>3177.14</v>
      </c>
      <c r="E283" s="1">
        <v>40049</v>
      </c>
      <c r="F283">
        <v>0</v>
      </c>
    </row>
    <row r="284" spans="1:8">
      <c r="A284" s="1">
        <v>40074</v>
      </c>
      <c r="B284">
        <v>10.199999999999999</v>
      </c>
      <c r="C284" s="1">
        <v>40074</v>
      </c>
      <c r="D284">
        <v>0</v>
      </c>
      <c r="E284" s="1">
        <v>40074</v>
      </c>
      <c r="F284">
        <v>0</v>
      </c>
    </row>
    <row r="285" spans="1:8">
      <c r="A285" s="1">
        <v>40165</v>
      </c>
      <c r="B285">
        <v>11.28</v>
      </c>
      <c r="C285" s="1">
        <v>40165</v>
      </c>
      <c r="D285">
        <v>0</v>
      </c>
      <c r="E285" s="1">
        <v>40165</v>
      </c>
      <c r="F285">
        <v>0</v>
      </c>
    </row>
    <row r="286" spans="1:8">
      <c r="A286" s="1">
        <v>40266</v>
      </c>
      <c r="B286">
        <v>-2986.91</v>
      </c>
      <c r="C286" s="1">
        <v>40266</v>
      </c>
      <c r="D286">
        <v>2986.91</v>
      </c>
      <c r="E286" s="1">
        <v>40266</v>
      </c>
      <c r="F286">
        <v>0</v>
      </c>
    </row>
    <row r="287" spans="1:8">
      <c r="A287" s="1">
        <v>40273</v>
      </c>
      <c r="B287">
        <v>3507.21</v>
      </c>
      <c r="C287" s="1">
        <v>40273</v>
      </c>
      <c r="D287">
        <v>-3507.21</v>
      </c>
      <c r="E287" s="1">
        <v>40273</v>
      </c>
      <c r="F287">
        <v>0</v>
      </c>
    </row>
    <row r="288" spans="1:8">
      <c r="A288" s="1">
        <v>40330</v>
      </c>
      <c r="B288">
        <v>0</v>
      </c>
      <c r="C288" s="1">
        <v>40330</v>
      </c>
      <c r="D288">
        <v>0</v>
      </c>
    </row>
    <row r="290" spans="1:8">
      <c r="A290" t="s">
        <v>158</v>
      </c>
      <c r="B290">
        <v>-1.8000602944968799E-2</v>
      </c>
      <c r="C290" t="s">
        <v>159</v>
      </c>
      <c r="D290">
        <v>-2.3439738765129201E-2</v>
      </c>
    </row>
    <row r="293" spans="1:8">
      <c r="A293" t="s">
        <v>125</v>
      </c>
    </row>
    <row r="295" spans="1:8">
      <c r="A295" t="s">
        <v>126</v>
      </c>
      <c r="B295" t="s">
        <v>35</v>
      </c>
      <c r="C295" t="s">
        <v>127</v>
      </c>
      <c r="D295" t="s">
        <v>168</v>
      </c>
      <c r="E295" t="s">
        <v>129</v>
      </c>
      <c r="F295" t="s">
        <v>171</v>
      </c>
    </row>
    <row r="296" spans="1:8">
      <c r="A296" t="s">
        <v>131</v>
      </c>
      <c r="B296">
        <v>20090601</v>
      </c>
      <c r="C296" t="s">
        <v>132</v>
      </c>
      <c r="D296">
        <v>20100601</v>
      </c>
    </row>
    <row r="297" spans="1:8">
      <c r="A297" t="s">
        <v>133</v>
      </c>
      <c r="B297">
        <v>0</v>
      </c>
      <c r="C297" t="s">
        <v>134</v>
      </c>
      <c r="D297">
        <v>0</v>
      </c>
      <c r="E297" t="s">
        <v>135</v>
      </c>
      <c r="F297">
        <v>0</v>
      </c>
    </row>
    <row r="298" spans="1:8">
      <c r="A298" t="s">
        <v>136</v>
      </c>
      <c r="B298">
        <v>7364.64</v>
      </c>
      <c r="C298" t="s">
        <v>137</v>
      </c>
      <c r="D298">
        <v>0</v>
      </c>
      <c r="E298" t="s">
        <v>138</v>
      </c>
      <c r="F298">
        <v>7364.64</v>
      </c>
    </row>
    <row r="299" spans="1:8">
      <c r="A299" t="s">
        <v>139</v>
      </c>
      <c r="B299">
        <v>0</v>
      </c>
      <c r="C299" t="s">
        <v>140</v>
      </c>
      <c r="D299">
        <v>0</v>
      </c>
      <c r="E299" t="s">
        <v>141</v>
      </c>
      <c r="F299">
        <v>0</v>
      </c>
    </row>
    <row r="300" spans="1:8">
      <c r="A300" t="s">
        <v>142</v>
      </c>
      <c r="B300">
        <v>0</v>
      </c>
      <c r="C300" t="s">
        <v>143</v>
      </c>
      <c r="D300">
        <v>0</v>
      </c>
      <c r="E300" t="s">
        <v>144</v>
      </c>
      <c r="F300">
        <v>0</v>
      </c>
      <c r="G300" t="s">
        <v>145</v>
      </c>
      <c r="H300">
        <v>0</v>
      </c>
    </row>
    <row r="301" spans="1:8">
      <c r="A301" t="s">
        <v>146</v>
      </c>
      <c r="B301">
        <v>0</v>
      </c>
      <c r="C301" t="s">
        <v>147</v>
      </c>
      <c r="D301">
        <v>0</v>
      </c>
    </row>
    <row r="302" spans="1:8">
      <c r="A302" t="s">
        <v>148</v>
      </c>
      <c r="B302">
        <v>0</v>
      </c>
      <c r="C302" t="s">
        <v>149</v>
      </c>
      <c r="D302">
        <v>0</v>
      </c>
    </row>
    <row r="303" spans="1:8">
      <c r="A303" t="s">
        <v>150</v>
      </c>
      <c r="B303">
        <v>0</v>
      </c>
      <c r="C303" t="s">
        <v>151</v>
      </c>
      <c r="D303" t="s">
        <v>163</v>
      </c>
      <c r="E303">
        <v>0</v>
      </c>
    </row>
    <row r="304" spans="1:8">
      <c r="A304" t="s">
        <v>153</v>
      </c>
    </row>
    <row r="306" spans="1:6">
      <c r="A306" t="s">
        <v>154</v>
      </c>
      <c r="C306" t="s">
        <v>155</v>
      </c>
      <c r="E306" t="s">
        <v>156</v>
      </c>
    </row>
    <row r="307" spans="1:6">
      <c r="A307" t="s">
        <v>3</v>
      </c>
      <c r="B307" t="s">
        <v>157</v>
      </c>
      <c r="C307" t="s">
        <v>3</v>
      </c>
      <c r="D307" t="s">
        <v>157</v>
      </c>
      <c r="E307" t="s">
        <v>3</v>
      </c>
      <c r="F307" t="s">
        <v>157</v>
      </c>
    </row>
    <row r="308" spans="1:6">
      <c r="A308" s="1">
        <v>40039</v>
      </c>
      <c r="B308">
        <v>-10000</v>
      </c>
      <c r="C308" s="1">
        <v>40039</v>
      </c>
      <c r="D308">
        <v>10000</v>
      </c>
    </row>
    <row r="309" spans="1:6">
      <c r="A309" s="1">
        <v>40049</v>
      </c>
      <c r="B309">
        <v>3177.14</v>
      </c>
      <c r="C309" s="1">
        <v>40049</v>
      </c>
      <c r="D309">
        <v>-3177.14</v>
      </c>
    </row>
    <row r="310" spans="1:6">
      <c r="A310" s="1">
        <v>40074</v>
      </c>
      <c r="B310">
        <v>-10.199999999999999</v>
      </c>
      <c r="C310" s="1">
        <v>40074</v>
      </c>
      <c r="D310">
        <v>10.199999999999999</v>
      </c>
    </row>
    <row r="311" spans="1:6">
      <c r="A311" s="1">
        <v>40165</v>
      </c>
      <c r="B311">
        <v>-11.28</v>
      </c>
      <c r="C311" s="1">
        <v>40165</v>
      </c>
      <c r="D311">
        <v>11.28</v>
      </c>
    </row>
    <row r="312" spans="1:6">
      <c r="A312" s="1">
        <v>40266</v>
      </c>
      <c r="B312">
        <v>2986.91</v>
      </c>
      <c r="C312" s="1">
        <v>40266</v>
      </c>
      <c r="D312">
        <v>-2986.91</v>
      </c>
    </row>
    <row r="313" spans="1:6">
      <c r="A313" s="1">
        <v>40273</v>
      </c>
      <c r="B313">
        <v>-3507.21</v>
      </c>
      <c r="C313" s="1">
        <v>40273</v>
      </c>
      <c r="D313">
        <v>3507.21</v>
      </c>
    </row>
    <row r="314" spans="1:6">
      <c r="A314" s="1">
        <v>40330</v>
      </c>
      <c r="B314">
        <v>7364.64</v>
      </c>
      <c r="C314" s="1">
        <v>40330</v>
      </c>
      <c r="D314">
        <v>0</v>
      </c>
    </row>
    <row r="316" spans="1:6">
      <c r="A316" t="s">
        <v>158</v>
      </c>
      <c r="B316">
        <v>0</v>
      </c>
      <c r="C316" t="s">
        <v>159</v>
      </c>
      <c r="D316">
        <v>0</v>
      </c>
    </row>
    <row r="319" spans="1:6">
      <c r="A319" t="s">
        <v>125</v>
      </c>
    </row>
    <row r="321" spans="1:8">
      <c r="A321" t="s">
        <v>126</v>
      </c>
      <c r="B321" t="s">
        <v>35</v>
      </c>
      <c r="C321" t="s">
        <v>127</v>
      </c>
      <c r="D321" t="s">
        <v>168</v>
      </c>
      <c r="E321" t="s">
        <v>129</v>
      </c>
      <c r="F321" t="s">
        <v>172</v>
      </c>
    </row>
    <row r="322" spans="1:8">
      <c r="A322" t="s">
        <v>131</v>
      </c>
      <c r="B322">
        <v>20090601</v>
      </c>
      <c r="C322" t="s">
        <v>132</v>
      </c>
      <c r="D322">
        <v>20100601</v>
      </c>
    </row>
    <row r="323" spans="1:8">
      <c r="A323" t="s">
        <v>133</v>
      </c>
      <c r="B323">
        <v>0</v>
      </c>
      <c r="C323" t="s">
        <v>134</v>
      </c>
      <c r="D323">
        <v>0</v>
      </c>
      <c r="E323" t="s">
        <v>135</v>
      </c>
      <c r="F323">
        <v>0</v>
      </c>
    </row>
    <row r="324" spans="1:8">
      <c r="A324" t="s">
        <v>136</v>
      </c>
      <c r="B324">
        <v>0</v>
      </c>
      <c r="C324" t="s">
        <v>137</v>
      </c>
      <c r="D324">
        <v>0</v>
      </c>
      <c r="E324" t="s">
        <v>138</v>
      </c>
      <c r="F324">
        <v>9943.3700000000008</v>
      </c>
    </row>
    <row r="325" spans="1:8">
      <c r="A325" t="s">
        <v>139</v>
      </c>
      <c r="B325">
        <v>0</v>
      </c>
      <c r="C325" t="s">
        <v>140</v>
      </c>
      <c r="D325">
        <v>7364.64</v>
      </c>
      <c r="E325" t="s">
        <v>141</v>
      </c>
      <c r="F325">
        <v>0</v>
      </c>
    </row>
    <row r="326" spans="1:8">
      <c r="A326" t="s">
        <v>142</v>
      </c>
      <c r="B326">
        <v>6164.0499999999902</v>
      </c>
      <c r="C326" t="s">
        <v>143</v>
      </c>
      <c r="D326">
        <v>-3507.21</v>
      </c>
      <c r="E326" t="s">
        <v>144</v>
      </c>
      <c r="F326">
        <v>0</v>
      </c>
      <c r="G326" t="s">
        <v>145</v>
      </c>
      <c r="H326">
        <v>0</v>
      </c>
    </row>
    <row r="327" spans="1:8">
      <c r="A327" t="s">
        <v>146</v>
      </c>
      <c r="B327">
        <v>21.479999999999901</v>
      </c>
      <c r="C327" t="s">
        <v>147</v>
      </c>
      <c r="D327">
        <v>0</v>
      </c>
    </row>
    <row r="328" spans="1:8">
      <c r="A328" t="s">
        <v>148</v>
      </c>
      <c r="B328">
        <v>2986.91</v>
      </c>
      <c r="C328" t="s">
        <v>149</v>
      </c>
      <c r="D328">
        <v>0</v>
      </c>
    </row>
    <row r="329" spans="1:8">
      <c r="A329" t="s">
        <v>150</v>
      </c>
      <c r="B329">
        <v>330.07</v>
      </c>
      <c r="C329" t="s">
        <v>151</v>
      </c>
      <c r="D329" t="s">
        <v>174</v>
      </c>
      <c r="E329">
        <v>-78.109999999999701</v>
      </c>
    </row>
    <row r="330" spans="1:8">
      <c r="A330" t="s">
        <v>153</v>
      </c>
    </row>
    <row r="332" spans="1:8">
      <c r="A332" t="s">
        <v>154</v>
      </c>
      <c r="C332" t="s">
        <v>155</v>
      </c>
      <c r="E332" t="s">
        <v>156</v>
      </c>
    </row>
    <row r="333" spans="1:8">
      <c r="A333" t="s">
        <v>3</v>
      </c>
      <c r="B333" t="s">
        <v>157</v>
      </c>
      <c r="C333" t="s">
        <v>3</v>
      </c>
      <c r="D333" t="s">
        <v>157</v>
      </c>
      <c r="E333" t="s">
        <v>3</v>
      </c>
      <c r="F333" t="s">
        <v>157</v>
      </c>
    </row>
    <row r="334" spans="1:8">
      <c r="A334" s="1">
        <v>40039</v>
      </c>
      <c r="B334">
        <v>-10000</v>
      </c>
      <c r="C334" s="1">
        <v>40039</v>
      </c>
      <c r="D334">
        <v>10000</v>
      </c>
      <c r="E334" s="1">
        <v>40039</v>
      </c>
      <c r="F334">
        <v>10000</v>
      </c>
    </row>
    <row r="335" spans="1:8">
      <c r="A335" s="1">
        <v>40049</v>
      </c>
      <c r="B335">
        <v>0</v>
      </c>
      <c r="C335" s="1">
        <v>40049</v>
      </c>
      <c r="D335">
        <v>0</v>
      </c>
      <c r="E335" s="1">
        <v>40049</v>
      </c>
      <c r="F335">
        <v>0</v>
      </c>
    </row>
    <row r="336" spans="1:8">
      <c r="A336" s="1">
        <v>40074</v>
      </c>
      <c r="B336">
        <v>0</v>
      </c>
      <c r="C336" s="1">
        <v>40074</v>
      </c>
      <c r="D336">
        <v>0</v>
      </c>
      <c r="E336" s="1">
        <v>40074</v>
      </c>
      <c r="F336">
        <v>0</v>
      </c>
    </row>
    <row r="337" spans="1:8">
      <c r="A337" s="1">
        <v>40165</v>
      </c>
      <c r="B337">
        <v>0</v>
      </c>
      <c r="C337" s="1">
        <v>40165</v>
      </c>
      <c r="D337">
        <v>0</v>
      </c>
      <c r="E337" s="1">
        <v>40165</v>
      </c>
      <c r="F337">
        <v>0</v>
      </c>
    </row>
    <row r="338" spans="1:8">
      <c r="A338" s="1">
        <v>40266</v>
      </c>
      <c r="B338">
        <v>0</v>
      </c>
      <c r="C338" s="1">
        <v>40266</v>
      </c>
      <c r="D338">
        <v>0</v>
      </c>
      <c r="E338" s="1">
        <v>40266</v>
      </c>
      <c r="F338">
        <v>0</v>
      </c>
    </row>
    <row r="339" spans="1:8">
      <c r="A339" s="1">
        <v>40273</v>
      </c>
      <c r="B339">
        <v>0</v>
      </c>
      <c r="C339" s="1">
        <v>40273</v>
      </c>
      <c r="D339">
        <v>0</v>
      </c>
      <c r="E339" s="1">
        <v>40273</v>
      </c>
      <c r="F339">
        <v>0</v>
      </c>
    </row>
    <row r="340" spans="1:8">
      <c r="A340" s="1">
        <v>40330</v>
      </c>
      <c r="B340">
        <v>9943.3700000000008</v>
      </c>
      <c r="C340" s="1">
        <v>40330</v>
      </c>
      <c r="D340">
        <v>0</v>
      </c>
      <c r="E340" s="1">
        <v>40330</v>
      </c>
      <c r="F340">
        <v>0</v>
      </c>
    </row>
    <row r="342" spans="1:8">
      <c r="A342" t="s">
        <v>158</v>
      </c>
      <c r="B342">
        <v>-5.6629999999999198E-3</v>
      </c>
      <c r="C342" t="s">
        <v>159</v>
      </c>
      <c r="D342">
        <v>-7.0979539012335701E-3</v>
      </c>
    </row>
    <row r="345" spans="1:8">
      <c r="A345" t="s">
        <v>125</v>
      </c>
    </row>
    <row r="347" spans="1:8">
      <c r="A347" t="s">
        <v>126</v>
      </c>
      <c r="B347" t="s">
        <v>175</v>
      </c>
      <c r="C347" t="s">
        <v>127</v>
      </c>
      <c r="D347" t="s">
        <v>176</v>
      </c>
      <c r="E347" t="s">
        <v>129</v>
      </c>
      <c r="F347" t="s">
        <v>177</v>
      </c>
    </row>
    <row r="348" spans="1:8">
      <c r="A348" t="s">
        <v>131</v>
      </c>
      <c r="B348">
        <v>20090601</v>
      </c>
      <c r="C348" t="s">
        <v>132</v>
      </c>
      <c r="D348">
        <v>20100601</v>
      </c>
    </row>
    <row r="349" spans="1:8">
      <c r="A349" t="s">
        <v>133</v>
      </c>
      <c r="B349">
        <v>0</v>
      </c>
      <c r="C349" t="s">
        <v>134</v>
      </c>
      <c r="D349">
        <v>0</v>
      </c>
      <c r="E349" t="s">
        <v>135</v>
      </c>
      <c r="F349">
        <v>24355.898701515998</v>
      </c>
    </row>
    <row r="350" spans="1:8">
      <c r="A350" t="s">
        <v>136</v>
      </c>
      <c r="B350">
        <v>0</v>
      </c>
      <c r="C350" t="s">
        <v>137</v>
      </c>
      <c r="D350">
        <v>0</v>
      </c>
      <c r="E350" t="s">
        <v>138</v>
      </c>
      <c r="F350">
        <v>13503.76</v>
      </c>
    </row>
    <row r="351" spans="1:8">
      <c r="A351" t="s">
        <v>139</v>
      </c>
      <c r="B351">
        <v>-23033.629999999899</v>
      </c>
      <c r="C351" t="s">
        <v>140</v>
      </c>
      <c r="D351">
        <v>-9413.3499999999894</v>
      </c>
      <c r="E351" t="s">
        <v>141</v>
      </c>
      <c r="F351">
        <v>0</v>
      </c>
    </row>
    <row r="352" spans="1:8">
      <c r="A352" t="s">
        <v>142</v>
      </c>
      <c r="B352">
        <v>12877.9399999999</v>
      </c>
      <c r="C352" t="s">
        <v>143</v>
      </c>
      <c r="D352">
        <v>-25232.95</v>
      </c>
      <c r="E352" t="s">
        <v>144</v>
      </c>
      <c r="F352">
        <v>-424.11</v>
      </c>
      <c r="G352" t="s">
        <v>145</v>
      </c>
      <c r="H352">
        <v>165.31</v>
      </c>
    </row>
    <row r="353" spans="1:6">
      <c r="A353" t="s">
        <v>146</v>
      </c>
      <c r="B353">
        <v>428.41</v>
      </c>
      <c r="C353" t="s">
        <v>147</v>
      </c>
      <c r="D353">
        <v>-3.76</v>
      </c>
    </row>
    <row r="354" spans="1:6">
      <c r="A354" t="s">
        <v>148</v>
      </c>
      <c r="B354">
        <v>14221.69</v>
      </c>
      <c r="C354" t="s">
        <v>149</v>
      </c>
      <c r="D354">
        <v>-305.75372093023202</v>
      </c>
    </row>
    <row r="355" spans="1:6">
      <c r="A355" t="s">
        <v>150</v>
      </c>
      <c r="B355">
        <v>3496.1162790697599</v>
      </c>
      <c r="C355" t="s">
        <v>151</v>
      </c>
      <c r="D355" t="s">
        <v>178</v>
      </c>
      <c r="E355">
        <v>1761.6712984839301</v>
      </c>
    </row>
    <row r="356" spans="1:6">
      <c r="A356" t="s">
        <v>153</v>
      </c>
    </row>
    <row r="358" spans="1:6">
      <c r="A358" t="s">
        <v>154</v>
      </c>
      <c r="C358" t="s">
        <v>155</v>
      </c>
      <c r="E358" t="s">
        <v>156</v>
      </c>
    </row>
    <row r="359" spans="1:6">
      <c r="A359" t="s">
        <v>3</v>
      </c>
      <c r="B359" t="s">
        <v>157</v>
      </c>
      <c r="C359" t="s">
        <v>3</v>
      </c>
      <c r="D359" t="s">
        <v>157</v>
      </c>
      <c r="E359" t="s">
        <v>3</v>
      </c>
      <c r="F359" t="s">
        <v>157</v>
      </c>
    </row>
    <row r="360" spans="1:6">
      <c r="A360" s="1">
        <v>39965</v>
      </c>
      <c r="B360">
        <v>0</v>
      </c>
      <c r="C360" s="1">
        <v>39965</v>
      </c>
      <c r="D360">
        <v>0</v>
      </c>
      <c r="E360" s="1">
        <v>40049</v>
      </c>
      <c r="F360">
        <v>0</v>
      </c>
    </row>
    <row r="361" spans="1:6">
      <c r="A361" s="1">
        <v>40049</v>
      </c>
      <c r="B361">
        <v>-3177.14</v>
      </c>
      <c r="C361" s="1">
        <v>40049</v>
      </c>
      <c r="D361">
        <v>3177.14</v>
      </c>
      <c r="E361" s="1">
        <v>40074</v>
      </c>
      <c r="F361">
        <v>0</v>
      </c>
    </row>
    <row r="362" spans="1:6">
      <c r="A362" s="1">
        <v>40074</v>
      </c>
      <c r="B362">
        <v>10.199999999999999</v>
      </c>
      <c r="C362" s="1">
        <v>40074</v>
      </c>
      <c r="D362">
        <v>0</v>
      </c>
      <c r="E362" s="1">
        <v>40165</v>
      </c>
      <c r="F362">
        <v>0</v>
      </c>
    </row>
    <row r="363" spans="1:6">
      <c r="A363" s="1">
        <v>40165</v>
      </c>
      <c r="B363">
        <v>11.28</v>
      </c>
      <c r="C363" s="1">
        <v>40165</v>
      </c>
      <c r="D363">
        <v>0</v>
      </c>
      <c r="E363" s="1">
        <v>40177</v>
      </c>
      <c r="F363">
        <v>0</v>
      </c>
    </row>
    <row r="364" spans="1:6">
      <c r="A364" s="1">
        <v>40177</v>
      </c>
      <c r="B364">
        <v>0</v>
      </c>
      <c r="C364" s="1">
        <v>40177</v>
      </c>
      <c r="D364">
        <v>302.11</v>
      </c>
      <c r="E364" s="1">
        <v>40186</v>
      </c>
      <c r="F364">
        <v>911.1</v>
      </c>
    </row>
    <row r="365" spans="1:6">
      <c r="A365" s="1">
        <v>40186</v>
      </c>
      <c r="B365">
        <v>-911.1</v>
      </c>
      <c r="C365" s="1">
        <v>40186</v>
      </c>
      <c r="D365">
        <v>911.1</v>
      </c>
      <c r="E365" s="1">
        <v>40187</v>
      </c>
      <c r="F365">
        <v>0</v>
      </c>
    </row>
    <row r="366" spans="1:6">
      <c r="A366" s="1">
        <v>40187</v>
      </c>
      <c r="B366">
        <v>16.32</v>
      </c>
      <c r="C366" s="1">
        <v>40187</v>
      </c>
      <c r="D366">
        <v>-16.32</v>
      </c>
      <c r="E366" s="1">
        <v>40211</v>
      </c>
      <c r="F366">
        <v>0</v>
      </c>
    </row>
    <row r="367" spans="1:6">
      <c r="A367" s="1">
        <v>40211</v>
      </c>
      <c r="B367">
        <v>-3797</v>
      </c>
      <c r="C367" s="1">
        <v>40211</v>
      </c>
      <c r="D367">
        <v>3797</v>
      </c>
      <c r="E367" s="1">
        <v>40219</v>
      </c>
      <c r="F367">
        <v>0</v>
      </c>
    </row>
    <row r="368" spans="1:6">
      <c r="A368" s="1">
        <v>40219</v>
      </c>
      <c r="B368">
        <v>151.18</v>
      </c>
      <c r="C368" s="1">
        <v>40219</v>
      </c>
      <c r="D368">
        <v>-151.18</v>
      </c>
      <c r="E368" s="1">
        <v>40252</v>
      </c>
      <c r="F368">
        <v>0</v>
      </c>
    </row>
    <row r="369" spans="1:6">
      <c r="A369" s="1">
        <v>40252</v>
      </c>
      <c r="B369">
        <v>-1434.8</v>
      </c>
      <c r="C369" s="1">
        <v>40252</v>
      </c>
      <c r="D369">
        <v>1434.8</v>
      </c>
      <c r="E369" s="1">
        <v>40265</v>
      </c>
      <c r="F369">
        <v>0</v>
      </c>
    </row>
    <row r="370" spans="1:6">
      <c r="A370" s="1">
        <v>40265</v>
      </c>
      <c r="B370">
        <v>7.61</v>
      </c>
      <c r="C370" s="1">
        <v>40265</v>
      </c>
      <c r="D370">
        <v>0</v>
      </c>
      <c r="E370" s="1">
        <v>40266</v>
      </c>
      <c r="F370">
        <v>0</v>
      </c>
    </row>
    <row r="371" spans="1:6">
      <c r="A371" s="1">
        <v>40266</v>
      </c>
      <c r="B371">
        <v>-2889.7</v>
      </c>
      <c r="C371" s="1">
        <v>40266</v>
      </c>
      <c r="D371">
        <v>2986.91</v>
      </c>
      <c r="E371" s="1">
        <v>40268</v>
      </c>
      <c r="F371">
        <v>0</v>
      </c>
    </row>
    <row r="372" spans="1:6">
      <c r="A372" s="1">
        <v>40268</v>
      </c>
      <c r="B372">
        <v>-12.27</v>
      </c>
      <c r="C372" s="1">
        <v>40268</v>
      </c>
      <c r="D372">
        <v>12.27</v>
      </c>
      <c r="E372" s="1">
        <v>40273</v>
      </c>
      <c r="F372">
        <v>0</v>
      </c>
    </row>
    <row r="373" spans="1:6">
      <c r="A373" s="1">
        <v>40273</v>
      </c>
      <c r="B373">
        <v>3507.21</v>
      </c>
      <c r="C373" s="1">
        <v>40273</v>
      </c>
      <c r="D373">
        <v>-3507.21</v>
      </c>
      <c r="E373" s="1">
        <v>40276</v>
      </c>
      <c r="F373">
        <v>0</v>
      </c>
    </row>
    <row r="374" spans="1:6">
      <c r="A374" s="1">
        <v>40276</v>
      </c>
      <c r="B374">
        <v>-3.76</v>
      </c>
      <c r="C374" s="1">
        <v>40276</v>
      </c>
      <c r="D374">
        <v>0</v>
      </c>
      <c r="E374" s="1">
        <v>40283</v>
      </c>
      <c r="F374">
        <v>0</v>
      </c>
    </row>
    <row r="375" spans="1:6">
      <c r="A375" s="1">
        <v>40283</v>
      </c>
      <c r="B375">
        <v>927</v>
      </c>
      <c r="C375" s="1">
        <v>40283</v>
      </c>
      <c r="D375">
        <v>-927</v>
      </c>
      <c r="E375" s="1">
        <v>40296</v>
      </c>
      <c r="F375">
        <v>-329.28</v>
      </c>
    </row>
    <row r="376" spans="1:6">
      <c r="A376" s="1">
        <v>40296</v>
      </c>
      <c r="B376">
        <v>163.969999999999</v>
      </c>
      <c r="C376" s="1">
        <v>40296</v>
      </c>
      <c r="D376">
        <v>-163.969999999999</v>
      </c>
      <c r="E376" s="1">
        <v>40301</v>
      </c>
      <c r="F376">
        <v>0</v>
      </c>
    </row>
    <row r="377" spans="1:6">
      <c r="A377" s="1">
        <v>40301</v>
      </c>
      <c r="B377">
        <v>18012.400000000001</v>
      </c>
      <c r="C377" s="1">
        <v>40301</v>
      </c>
      <c r="D377">
        <v>-18012.400000000001</v>
      </c>
      <c r="E377" s="1">
        <v>40312</v>
      </c>
      <c r="F377">
        <v>0</v>
      </c>
    </row>
    <row r="378" spans="1:6">
      <c r="A378" s="1">
        <v>40312</v>
      </c>
      <c r="B378">
        <v>2457.06</v>
      </c>
      <c r="C378" s="1">
        <v>40312</v>
      </c>
      <c r="D378">
        <v>-2457.06</v>
      </c>
    </row>
    <row r="379" spans="1:6">
      <c r="A379" s="1">
        <v>40330</v>
      </c>
      <c r="B379">
        <v>0</v>
      </c>
      <c r="C379" s="1">
        <v>40330</v>
      </c>
      <c r="D379">
        <v>0</v>
      </c>
    </row>
    <row r="381" spans="1:6">
      <c r="A381" t="s">
        <v>158</v>
      </c>
      <c r="B381">
        <v>8.0761591612448697E-2</v>
      </c>
      <c r="C381" t="s">
        <v>159</v>
      </c>
      <c r="D381">
        <v>8.1259829134889605E-2</v>
      </c>
    </row>
    <row r="384" spans="1:6">
      <c r="A384" t="s">
        <v>125</v>
      </c>
    </row>
    <row r="386" spans="1:8">
      <c r="A386" t="s">
        <v>126</v>
      </c>
      <c r="B386" t="s">
        <v>175</v>
      </c>
      <c r="C386" t="s">
        <v>127</v>
      </c>
      <c r="D386" t="s">
        <v>176</v>
      </c>
      <c r="E386" t="s">
        <v>129</v>
      </c>
      <c r="F386" t="s">
        <v>179</v>
      </c>
    </row>
    <row r="387" spans="1:8">
      <c r="A387" t="s">
        <v>131</v>
      </c>
      <c r="B387">
        <v>20090601</v>
      </c>
      <c r="C387" t="s">
        <v>132</v>
      </c>
      <c r="D387">
        <v>20100601</v>
      </c>
    </row>
    <row r="388" spans="1:8">
      <c r="A388" t="s">
        <v>133</v>
      </c>
      <c r="B388">
        <v>11240.31</v>
      </c>
      <c r="C388" t="s">
        <v>134</v>
      </c>
      <c r="D388">
        <v>0</v>
      </c>
      <c r="E388" t="s">
        <v>135</v>
      </c>
      <c r="F388">
        <v>11240.31</v>
      </c>
    </row>
    <row r="389" spans="1:8">
      <c r="A389" t="s">
        <v>136</v>
      </c>
      <c r="B389">
        <v>34882.71</v>
      </c>
      <c r="C389" t="s">
        <v>137</v>
      </c>
      <c r="D389">
        <v>0</v>
      </c>
      <c r="E389" t="s">
        <v>138</v>
      </c>
      <c r="F389">
        <v>34882.71</v>
      </c>
    </row>
    <row r="390" spans="1:8">
      <c r="A390" t="s">
        <v>139</v>
      </c>
      <c r="B390">
        <v>0</v>
      </c>
      <c r="C390" t="s">
        <v>140</v>
      </c>
      <c r="D390">
        <v>0</v>
      </c>
      <c r="E390" t="s">
        <v>141</v>
      </c>
      <c r="F390">
        <v>0</v>
      </c>
    </row>
    <row r="391" spans="1:8">
      <c r="A391" t="s">
        <v>142</v>
      </c>
      <c r="B391">
        <v>0</v>
      </c>
      <c r="C391" t="s">
        <v>143</v>
      </c>
      <c r="D391">
        <v>0</v>
      </c>
      <c r="E391" t="s">
        <v>144</v>
      </c>
      <c r="F391">
        <v>0</v>
      </c>
      <c r="G391" t="s">
        <v>145</v>
      </c>
      <c r="H391">
        <v>0</v>
      </c>
    </row>
    <row r="392" spans="1:8">
      <c r="A392" t="s">
        <v>146</v>
      </c>
      <c r="B392">
        <v>22.12</v>
      </c>
      <c r="C392" t="s">
        <v>147</v>
      </c>
      <c r="D392">
        <v>0</v>
      </c>
    </row>
    <row r="393" spans="1:8">
      <c r="A393" t="s">
        <v>148</v>
      </c>
      <c r="B393">
        <v>0</v>
      </c>
      <c r="C393" t="s">
        <v>149</v>
      </c>
      <c r="D393">
        <v>0</v>
      </c>
    </row>
    <row r="394" spans="1:8">
      <c r="A394" t="s">
        <v>150</v>
      </c>
      <c r="B394">
        <v>0</v>
      </c>
      <c r="C394" t="s">
        <v>151</v>
      </c>
      <c r="D394" t="s">
        <v>163</v>
      </c>
      <c r="E394">
        <v>0</v>
      </c>
    </row>
    <row r="395" spans="1:8">
      <c r="A395" t="s">
        <v>153</v>
      </c>
    </row>
    <row r="397" spans="1:8">
      <c r="A397" t="s">
        <v>154</v>
      </c>
      <c r="C397" t="s">
        <v>155</v>
      </c>
      <c r="E397" t="s">
        <v>156</v>
      </c>
    </row>
    <row r="398" spans="1:8">
      <c r="A398" t="s">
        <v>3</v>
      </c>
      <c r="B398" t="s">
        <v>157</v>
      </c>
      <c r="C398" t="s">
        <v>3</v>
      </c>
      <c r="D398" t="s">
        <v>157</v>
      </c>
      <c r="E398" t="s">
        <v>3</v>
      </c>
      <c r="F398" t="s">
        <v>157</v>
      </c>
    </row>
    <row r="399" spans="1:8">
      <c r="A399" s="1">
        <v>39965</v>
      </c>
      <c r="B399">
        <v>-11240.31</v>
      </c>
      <c r="C399" s="1">
        <v>39965</v>
      </c>
      <c r="D399">
        <v>0</v>
      </c>
    </row>
    <row r="400" spans="1:8">
      <c r="A400" s="1">
        <v>40039</v>
      </c>
      <c r="B400">
        <v>-10000</v>
      </c>
      <c r="C400" s="1">
        <v>40039</v>
      </c>
      <c r="D400">
        <v>10000</v>
      </c>
    </row>
    <row r="401" spans="1:4">
      <c r="A401" s="1">
        <v>40049</v>
      </c>
      <c r="B401">
        <v>3177.14</v>
      </c>
      <c r="C401" s="1">
        <v>40049</v>
      </c>
      <c r="D401">
        <v>-3177.14</v>
      </c>
    </row>
    <row r="402" spans="1:4">
      <c r="A402" s="1">
        <v>40074</v>
      </c>
      <c r="B402">
        <v>-10.199999999999999</v>
      </c>
      <c r="C402" s="1">
        <v>40074</v>
      </c>
      <c r="D402">
        <v>10.199999999999999</v>
      </c>
    </row>
    <row r="403" spans="1:4">
      <c r="A403" s="1">
        <v>40165</v>
      </c>
      <c r="B403">
        <v>-11.28</v>
      </c>
      <c r="C403" s="1">
        <v>40165</v>
      </c>
      <c r="D403">
        <v>11.28</v>
      </c>
    </row>
    <row r="404" spans="1:4">
      <c r="A404" s="1">
        <v>40177</v>
      </c>
      <c r="B404">
        <v>0</v>
      </c>
      <c r="C404" s="1">
        <v>40177</v>
      </c>
      <c r="D404">
        <v>0</v>
      </c>
    </row>
    <row r="405" spans="1:4">
      <c r="A405" s="1">
        <v>40178</v>
      </c>
      <c r="B405">
        <v>22.12</v>
      </c>
      <c r="C405" s="1">
        <v>40178</v>
      </c>
      <c r="D405">
        <v>0</v>
      </c>
    </row>
    <row r="406" spans="1:4">
      <c r="A406" s="1">
        <v>40186</v>
      </c>
      <c r="B406">
        <v>0</v>
      </c>
      <c r="C406" s="1">
        <v>40186</v>
      </c>
      <c r="D406">
        <v>0</v>
      </c>
    </row>
    <row r="407" spans="1:4">
      <c r="A407" s="1">
        <v>40187</v>
      </c>
      <c r="B407">
        <v>-16.32</v>
      </c>
      <c r="C407" s="1">
        <v>40187</v>
      </c>
      <c r="D407">
        <v>16.32</v>
      </c>
    </row>
    <row r="408" spans="1:4">
      <c r="A408" s="1">
        <v>40211</v>
      </c>
      <c r="B408">
        <v>3797</v>
      </c>
      <c r="C408" s="1">
        <v>40211</v>
      </c>
      <c r="D408">
        <v>-3797</v>
      </c>
    </row>
    <row r="409" spans="1:4">
      <c r="A409" s="1">
        <v>40219</v>
      </c>
      <c r="B409">
        <v>-151.18</v>
      </c>
      <c r="C409" s="1">
        <v>40219</v>
      </c>
      <c r="D409">
        <v>151.18</v>
      </c>
    </row>
    <row r="410" spans="1:4">
      <c r="A410" s="1">
        <v>40252</v>
      </c>
      <c r="B410">
        <v>1434.8</v>
      </c>
      <c r="C410" s="1">
        <v>40252</v>
      </c>
      <c r="D410">
        <v>-1434.8</v>
      </c>
    </row>
    <row r="411" spans="1:4">
      <c r="A411" s="1">
        <v>40265</v>
      </c>
      <c r="B411">
        <v>-7.61</v>
      </c>
      <c r="C411" s="1">
        <v>40265</v>
      </c>
      <c r="D411">
        <v>7.61</v>
      </c>
    </row>
    <row r="412" spans="1:4">
      <c r="A412" s="1">
        <v>40266</v>
      </c>
      <c r="B412">
        <v>2889.7</v>
      </c>
      <c r="C412" s="1">
        <v>40266</v>
      </c>
      <c r="D412">
        <v>-2889.7</v>
      </c>
    </row>
    <row r="413" spans="1:4">
      <c r="A413" s="1">
        <v>40268</v>
      </c>
      <c r="B413">
        <v>12.27</v>
      </c>
      <c r="C413" s="1">
        <v>40268</v>
      </c>
      <c r="D413">
        <v>-12.27</v>
      </c>
    </row>
    <row r="414" spans="1:4">
      <c r="A414" s="1">
        <v>40273</v>
      </c>
      <c r="B414">
        <v>-3507.21</v>
      </c>
      <c r="C414" s="1">
        <v>40273</v>
      </c>
      <c r="D414">
        <v>3507.21</v>
      </c>
    </row>
    <row r="415" spans="1:4">
      <c r="A415" s="1">
        <v>40276</v>
      </c>
      <c r="B415">
        <v>3.76</v>
      </c>
      <c r="C415" s="1">
        <v>40276</v>
      </c>
      <c r="D415">
        <v>-3.76</v>
      </c>
    </row>
    <row r="416" spans="1:4">
      <c r="A416" s="1">
        <v>40283</v>
      </c>
      <c r="B416">
        <v>-927</v>
      </c>
      <c r="C416" s="1">
        <v>40283</v>
      </c>
      <c r="D416">
        <v>927</v>
      </c>
    </row>
    <row r="417" spans="1:8">
      <c r="A417" s="1">
        <v>40296</v>
      </c>
      <c r="B417">
        <v>165.31</v>
      </c>
      <c r="C417" s="1">
        <v>40296</v>
      </c>
      <c r="D417">
        <v>-165.31</v>
      </c>
    </row>
    <row r="418" spans="1:8">
      <c r="A418" s="1">
        <v>40301</v>
      </c>
      <c r="B418">
        <v>-18012.400000000001</v>
      </c>
      <c r="C418" s="1">
        <v>40301</v>
      </c>
      <c r="D418">
        <v>18012.400000000001</v>
      </c>
    </row>
    <row r="419" spans="1:8">
      <c r="A419" s="1">
        <v>40312</v>
      </c>
      <c r="B419">
        <v>-2457.06</v>
      </c>
      <c r="C419" s="1">
        <v>40312</v>
      </c>
      <c r="D419">
        <v>2457.06</v>
      </c>
    </row>
    <row r="420" spans="1:8">
      <c r="A420" s="1">
        <v>40330</v>
      </c>
      <c r="B420">
        <v>34882.71</v>
      </c>
      <c r="C420" s="1">
        <v>40330</v>
      </c>
      <c r="D420">
        <v>0</v>
      </c>
    </row>
    <row r="422" spans="1:8">
      <c r="A422" t="s">
        <v>158</v>
      </c>
      <c r="B422">
        <v>2.6049546506540502E-3</v>
      </c>
      <c r="C422" t="s">
        <v>159</v>
      </c>
      <c r="D422">
        <v>2.6066840321912199E-3</v>
      </c>
    </row>
    <row r="425" spans="1:8">
      <c r="A425" t="s">
        <v>125</v>
      </c>
    </row>
    <row r="427" spans="1:8">
      <c r="A427" t="s">
        <v>126</v>
      </c>
      <c r="B427" t="s">
        <v>175</v>
      </c>
      <c r="C427" t="s">
        <v>127</v>
      </c>
      <c r="D427" t="s">
        <v>176</v>
      </c>
      <c r="E427" t="s">
        <v>129</v>
      </c>
      <c r="F427" t="s">
        <v>180</v>
      </c>
    </row>
    <row r="428" spans="1:8">
      <c r="A428" t="s">
        <v>131</v>
      </c>
      <c r="B428">
        <v>20090601</v>
      </c>
      <c r="C428" t="s">
        <v>132</v>
      </c>
      <c r="D428">
        <v>20100601</v>
      </c>
    </row>
    <row r="429" spans="1:8">
      <c r="A429" t="s">
        <v>133</v>
      </c>
      <c r="B429">
        <v>0</v>
      </c>
      <c r="C429" t="s">
        <v>134</v>
      </c>
      <c r="D429">
        <v>0</v>
      </c>
      <c r="E429" t="s">
        <v>135</v>
      </c>
      <c r="F429">
        <v>35596.208701516</v>
      </c>
    </row>
    <row r="430" spans="1:8">
      <c r="A430" t="s">
        <v>136</v>
      </c>
      <c r="B430">
        <v>0</v>
      </c>
      <c r="C430" t="s">
        <v>137</v>
      </c>
      <c r="D430">
        <v>0</v>
      </c>
      <c r="E430" t="s">
        <v>138</v>
      </c>
      <c r="F430">
        <v>48386.47</v>
      </c>
    </row>
    <row r="431" spans="1:8">
      <c r="A431" t="s">
        <v>139</v>
      </c>
      <c r="B431">
        <v>-8759.6899999999896</v>
      </c>
      <c r="C431" t="s">
        <v>140</v>
      </c>
      <c r="D431">
        <v>14882.71</v>
      </c>
      <c r="E431" t="s">
        <v>141</v>
      </c>
      <c r="F431">
        <v>0</v>
      </c>
    </row>
    <row r="432" spans="1:8">
      <c r="A432" t="s">
        <v>142</v>
      </c>
      <c r="B432">
        <v>12877.9399999999</v>
      </c>
      <c r="C432" t="s">
        <v>143</v>
      </c>
      <c r="D432">
        <v>-25232.95</v>
      </c>
      <c r="E432" t="s">
        <v>144</v>
      </c>
      <c r="F432">
        <v>-424.11</v>
      </c>
      <c r="G432" t="s">
        <v>145</v>
      </c>
      <c r="H432">
        <v>165.31</v>
      </c>
    </row>
    <row r="433" spans="1:6">
      <c r="A433" t="s">
        <v>146</v>
      </c>
      <c r="B433">
        <v>450.53</v>
      </c>
      <c r="C433" t="s">
        <v>147</v>
      </c>
      <c r="D433">
        <v>-3.76</v>
      </c>
    </row>
    <row r="434" spans="1:6">
      <c r="A434" t="s">
        <v>148</v>
      </c>
      <c r="B434">
        <v>14221.69</v>
      </c>
      <c r="C434" t="s">
        <v>149</v>
      </c>
      <c r="D434">
        <v>-305.75372093023202</v>
      </c>
    </row>
    <row r="435" spans="1:6">
      <c r="A435" t="s">
        <v>150</v>
      </c>
      <c r="B435">
        <v>3496.1162790697599</v>
      </c>
      <c r="C435" t="s">
        <v>151</v>
      </c>
      <c r="D435" t="s">
        <v>178</v>
      </c>
      <c r="E435">
        <v>1761.6712984839301</v>
      </c>
    </row>
    <row r="436" spans="1:6">
      <c r="A436" t="s">
        <v>153</v>
      </c>
    </row>
    <row r="438" spans="1:6">
      <c r="A438" t="s">
        <v>154</v>
      </c>
      <c r="C438" t="s">
        <v>155</v>
      </c>
      <c r="E438" t="s">
        <v>156</v>
      </c>
    </row>
    <row r="439" spans="1:6">
      <c r="A439" t="s">
        <v>3</v>
      </c>
      <c r="B439" t="s">
        <v>157</v>
      </c>
      <c r="C439" t="s">
        <v>3</v>
      </c>
      <c r="D439" t="s">
        <v>157</v>
      </c>
      <c r="E439" t="s">
        <v>3</v>
      </c>
      <c r="F439" t="s">
        <v>157</v>
      </c>
    </row>
    <row r="440" spans="1:6">
      <c r="A440" s="1">
        <v>39965</v>
      </c>
      <c r="B440">
        <v>-35596.208701516</v>
      </c>
      <c r="C440" s="1">
        <v>39965</v>
      </c>
      <c r="D440">
        <v>0</v>
      </c>
      <c r="E440" s="1">
        <v>39965</v>
      </c>
      <c r="F440">
        <v>0</v>
      </c>
    </row>
    <row r="441" spans="1:6">
      <c r="A441" s="1">
        <v>40039</v>
      </c>
      <c r="B441">
        <v>-10000</v>
      </c>
      <c r="C441" s="1">
        <v>40039</v>
      </c>
      <c r="D441">
        <v>10000</v>
      </c>
      <c r="E441" s="1">
        <v>40039</v>
      </c>
      <c r="F441">
        <v>10000</v>
      </c>
    </row>
    <row r="442" spans="1:6">
      <c r="A442" s="1">
        <v>40049</v>
      </c>
      <c r="B442">
        <v>0</v>
      </c>
      <c r="C442" s="1">
        <v>40049</v>
      </c>
      <c r="D442">
        <v>0</v>
      </c>
      <c r="E442" s="1">
        <v>40049</v>
      </c>
      <c r="F442">
        <v>0</v>
      </c>
    </row>
    <row r="443" spans="1:6">
      <c r="A443" s="1">
        <v>40074</v>
      </c>
      <c r="B443">
        <v>0</v>
      </c>
      <c r="C443" s="1">
        <v>40074</v>
      </c>
      <c r="D443">
        <v>0</v>
      </c>
      <c r="E443" s="1">
        <v>40074</v>
      </c>
      <c r="F443">
        <v>0</v>
      </c>
    </row>
    <row r="444" spans="1:6">
      <c r="A444" s="1">
        <v>40165</v>
      </c>
      <c r="B444">
        <v>0</v>
      </c>
      <c r="C444" s="1">
        <v>40165</v>
      </c>
      <c r="D444">
        <v>0</v>
      </c>
      <c r="E444" s="1">
        <v>40165</v>
      </c>
      <c r="F444">
        <v>0</v>
      </c>
    </row>
    <row r="445" spans="1:6">
      <c r="A445" s="1">
        <v>40177</v>
      </c>
      <c r="B445">
        <v>0</v>
      </c>
      <c r="C445" s="1">
        <v>40177</v>
      </c>
      <c r="D445">
        <v>0</v>
      </c>
      <c r="E445" s="1">
        <v>40177</v>
      </c>
      <c r="F445">
        <v>0</v>
      </c>
    </row>
    <row r="446" spans="1:6">
      <c r="A446" s="1">
        <v>40178</v>
      </c>
      <c r="B446">
        <v>0</v>
      </c>
      <c r="C446" s="1">
        <v>40178</v>
      </c>
      <c r="D446">
        <v>0</v>
      </c>
      <c r="E446" s="1">
        <v>40178</v>
      </c>
      <c r="F446">
        <v>0</v>
      </c>
    </row>
    <row r="447" spans="1:6">
      <c r="A447" s="1">
        <v>40186</v>
      </c>
      <c r="B447">
        <v>-911.1</v>
      </c>
      <c r="C447" s="1">
        <v>40186</v>
      </c>
      <c r="D447">
        <v>911.1</v>
      </c>
      <c r="E447" s="1">
        <v>40186</v>
      </c>
      <c r="F447">
        <v>911.1</v>
      </c>
    </row>
    <row r="448" spans="1:6">
      <c r="A448" s="1">
        <v>40187</v>
      </c>
      <c r="B448">
        <v>0</v>
      </c>
      <c r="C448" s="1">
        <v>40187</v>
      </c>
      <c r="D448">
        <v>0</v>
      </c>
      <c r="E448" s="1">
        <v>40187</v>
      </c>
      <c r="F448">
        <v>0</v>
      </c>
    </row>
    <row r="449" spans="1:6">
      <c r="A449" s="1">
        <v>40211</v>
      </c>
      <c r="B449">
        <v>0</v>
      </c>
      <c r="C449" s="1">
        <v>40211</v>
      </c>
      <c r="D449">
        <v>0</v>
      </c>
      <c r="E449" s="1">
        <v>40211</v>
      </c>
      <c r="F449">
        <v>0</v>
      </c>
    </row>
    <row r="450" spans="1:6">
      <c r="A450" s="1">
        <v>40219</v>
      </c>
      <c r="B450">
        <v>0</v>
      </c>
      <c r="C450" s="1">
        <v>40219</v>
      </c>
      <c r="D450">
        <v>0</v>
      </c>
      <c r="E450" s="1">
        <v>40219</v>
      </c>
      <c r="F450">
        <v>0</v>
      </c>
    </row>
    <row r="451" spans="1:6">
      <c r="A451" s="1">
        <v>40252</v>
      </c>
      <c r="B451">
        <v>0</v>
      </c>
      <c r="C451" s="1">
        <v>40252</v>
      </c>
      <c r="D451">
        <v>0</v>
      </c>
      <c r="E451" s="1">
        <v>40252</v>
      </c>
      <c r="F451">
        <v>0</v>
      </c>
    </row>
    <row r="452" spans="1:6">
      <c r="A452" s="1">
        <v>40265</v>
      </c>
      <c r="B452">
        <v>0</v>
      </c>
      <c r="C452" s="1">
        <v>40265</v>
      </c>
      <c r="D452">
        <v>0</v>
      </c>
      <c r="E452" s="1">
        <v>40265</v>
      </c>
      <c r="F452">
        <v>0</v>
      </c>
    </row>
    <row r="453" spans="1:6">
      <c r="A453" s="1">
        <v>40266</v>
      </c>
      <c r="B453">
        <v>0</v>
      </c>
      <c r="C453" s="1">
        <v>40266</v>
      </c>
      <c r="D453">
        <v>0</v>
      </c>
      <c r="E453" s="1">
        <v>40266</v>
      </c>
      <c r="F453">
        <v>0</v>
      </c>
    </row>
    <row r="454" spans="1:6">
      <c r="A454" s="1">
        <v>40268</v>
      </c>
      <c r="B454">
        <v>0</v>
      </c>
      <c r="C454" s="1">
        <v>40268</v>
      </c>
      <c r="D454">
        <v>0</v>
      </c>
      <c r="E454" s="1">
        <v>40268</v>
      </c>
      <c r="F454">
        <v>0</v>
      </c>
    </row>
    <row r="455" spans="1:6">
      <c r="A455" s="1">
        <v>40273</v>
      </c>
      <c r="B455">
        <v>0</v>
      </c>
      <c r="C455" s="1">
        <v>40273</v>
      </c>
      <c r="D455">
        <v>0</v>
      </c>
      <c r="E455" s="1">
        <v>40273</v>
      </c>
      <c r="F455">
        <v>0</v>
      </c>
    </row>
    <row r="456" spans="1:6">
      <c r="A456" s="1">
        <v>40276</v>
      </c>
      <c r="B456">
        <v>0</v>
      </c>
      <c r="C456" s="1">
        <v>40276</v>
      </c>
      <c r="D456">
        <v>0</v>
      </c>
      <c r="E456" s="1">
        <v>40276</v>
      </c>
      <c r="F456">
        <v>0</v>
      </c>
    </row>
    <row r="457" spans="1:6">
      <c r="A457" s="1">
        <v>40283</v>
      </c>
      <c r="B457">
        <v>0</v>
      </c>
      <c r="C457" s="1">
        <v>40283</v>
      </c>
      <c r="D457">
        <v>0</v>
      </c>
      <c r="E457" s="1">
        <v>40283</v>
      </c>
      <c r="F457">
        <v>0</v>
      </c>
    </row>
    <row r="458" spans="1:6">
      <c r="A458" s="1">
        <v>40296</v>
      </c>
      <c r="B458">
        <v>329.28</v>
      </c>
      <c r="C458" s="1">
        <v>40296</v>
      </c>
      <c r="D458">
        <v>-329.28</v>
      </c>
      <c r="E458" s="1">
        <v>40296</v>
      </c>
      <c r="F458">
        <v>-329.28</v>
      </c>
    </row>
    <row r="459" spans="1:6">
      <c r="A459" s="1">
        <v>40301</v>
      </c>
      <c r="B459">
        <v>0</v>
      </c>
      <c r="C459" s="1">
        <v>40301</v>
      </c>
      <c r="D459">
        <v>0</v>
      </c>
      <c r="E459" s="1">
        <v>40301</v>
      </c>
      <c r="F459">
        <v>0</v>
      </c>
    </row>
    <row r="460" spans="1:6">
      <c r="A460" s="1">
        <v>40312</v>
      </c>
      <c r="B460">
        <v>0</v>
      </c>
      <c r="C460" s="1">
        <v>40312</v>
      </c>
      <c r="D460">
        <v>0</v>
      </c>
      <c r="E460" s="1">
        <v>40312</v>
      </c>
      <c r="F460">
        <v>0</v>
      </c>
    </row>
    <row r="461" spans="1:6">
      <c r="A461" s="1">
        <v>40330</v>
      </c>
      <c r="B461">
        <v>48386.47</v>
      </c>
      <c r="C461" s="1">
        <v>40330</v>
      </c>
      <c r="D461">
        <v>0</v>
      </c>
      <c r="E461" s="1">
        <v>40330</v>
      </c>
      <c r="F461">
        <v>0</v>
      </c>
    </row>
    <row r="463" spans="1:6">
      <c r="A463" t="s">
        <v>158</v>
      </c>
      <c r="B463">
        <v>5.0308945817575203E-2</v>
      </c>
      <c r="C463" t="s">
        <v>159</v>
      </c>
      <c r="D463">
        <v>5.0360064410931799E-2</v>
      </c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J36"/>
  <sheetViews>
    <sheetView zoomScale="85" zoomScaleNormal="85" workbookViewId="0">
      <selection activeCell="H4" sqref="H4"/>
    </sheetView>
  </sheetViews>
  <sheetFormatPr defaultRowHeight="15"/>
  <cols>
    <col min="1" max="1" width="15.85546875" bestFit="1" customWidth="1"/>
    <col min="2" max="2" width="12.85546875" bestFit="1" customWidth="1"/>
    <col min="3" max="3" width="15.85546875" bestFit="1" customWidth="1"/>
    <col min="4" max="4" width="12.85546875" bestFit="1" customWidth="1"/>
    <col min="5" max="5" width="11.28515625" bestFit="1" customWidth="1"/>
    <col min="6" max="6" width="9.28515625" bestFit="1" customWidth="1"/>
    <col min="8" max="8" width="10.28515625" bestFit="1" customWidth="1"/>
    <col min="9" max="9" width="11.28515625" bestFit="1" customWidth="1"/>
  </cols>
  <sheetData>
    <row r="1" spans="1:10">
      <c r="A1" s="18" t="s">
        <v>125</v>
      </c>
      <c r="B1" s="18"/>
      <c r="C1" s="18"/>
      <c r="D1" s="18"/>
      <c r="E1" s="18"/>
      <c r="F1" s="18"/>
      <c r="G1" s="18"/>
      <c r="H1" s="18"/>
    </row>
    <row r="2" spans="1:10">
      <c r="A2" s="18"/>
      <c r="B2" s="18"/>
      <c r="C2" s="18"/>
      <c r="D2" s="18"/>
      <c r="E2" s="18"/>
      <c r="F2" s="18"/>
      <c r="G2" s="18"/>
      <c r="H2" s="18"/>
    </row>
    <row r="3" spans="1:10">
      <c r="A3" s="18" t="s">
        <v>126</v>
      </c>
      <c r="B3" s="18" t="s">
        <v>27</v>
      </c>
      <c r="C3" s="18" t="s">
        <v>127</v>
      </c>
      <c r="D3" s="18" t="s">
        <v>168</v>
      </c>
      <c r="E3" s="18" t="s">
        <v>129</v>
      </c>
      <c r="F3" s="18" t="s">
        <v>169</v>
      </c>
      <c r="G3" s="18"/>
      <c r="H3" s="18"/>
    </row>
    <row r="4" spans="1:10">
      <c r="A4" s="18" t="s">
        <v>131</v>
      </c>
      <c r="B4" s="18">
        <v>20090601</v>
      </c>
      <c r="C4" s="18" t="s">
        <v>132</v>
      </c>
      <c r="D4" s="18">
        <v>20100601</v>
      </c>
      <c r="E4" s="18"/>
      <c r="F4" s="18"/>
      <c r="G4" s="18"/>
      <c r="H4" s="18"/>
    </row>
    <row r="5" spans="1:10">
      <c r="A5" s="18" t="s">
        <v>133</v>
      </c>
      <c r="B5" s="10">
        <v>0</v>
      </c>
      <c r="C5" s="18" t="s">
        <v>134</v>
      </c>
      <c r="D5" s="10">
        <v>0</v>
      </c>
      <c r="E5" s="18" t="s">
        <v>135</v>
      </c>
      <c r="F5" s="18">
        <v>24355.898701515998</v>
      </c>
      <c r="G5" s="18"/>
      <c r="H5" s="18"/>
    </row>
    <row r="6" spans="1:10">
      <c r="A6" s="18" t="s">
        <v>136</v>
      </c>
      <c r="B6" s="10">
        <v>0</v>
      </c>
      <c r="C6" s="18" t="s">
        <v>137</v>
      </c>
      <c r="D6" s="10">
        <v>0</v>
      </c>
      <c r="E6" s="18" t="s">
        <v>138</v>
      </c>
      <c r="F6" s="18">
        <v>10925.03</v>
      </c>
      <c r="G6" s="18"/>
      <c r="H6" s="18"/>
    </row>
    <row r="7" spans="1:10">
      <c r="A7" s="18" t="s">
        <v>139</v>
      </c>
      <c r="B7" s="10">
        <v>-23033.629999999899</v>
      </c>
      <c r="C7" s="18" t="s">
        <v>140</v>
      </c>
      <c r="D7" s="10">
        <v>-6777.9899999999898</v>
      </c>
      <c r="E7" s="18" t="s">
        <v>141</v>
      </c>
      <c r="F7" s="18">
        <v>0</v>
      </c>
      <c r="G7" s="18"/>
      <c r="H7" s="18"/>
    </row>
    <row r="8" spans="1:10">
      <c r="A8" s="18" t="s">
        <v>142</v>
      </c>
      <c r="B8" s="10">
        <v>6713.8899999999903</v>
      </c>
      <c r="C8" s="18" t="s">
        <v>143</v>
      </c>
      <c r="D8" s="10">
        <v>-21725.74</v>
      </c>
      <c r="E8" s="18" t="s">
        <v>144</v>
      </c>
      <c r="F8" s="18">
        <v>-424.11</v>
      </c>
      <c r="G8" s="18" t="s">
        <v>145</v>
      </c>
      <c r="H8" s="18">
        <v>165.31</v>
      </c>
    </row>
    <row r="9" spans="1:10">
      <c r="A9" s="18" t="s">
        <v>146</v>
      </c>
      <c r="B9" s="10">
        <v>406.93</v>
      </c>
      <c r="C9" s="18" t="s">
        <v>147</v>
      </c>
      <c r="D9" s="10">
        <v>-3.76</v>
      </c>
      <c r="E9" s="18"/>
      <c r="F9" s="18"/>
      <c r="G9" s="18"/>
      <c r="H9" s="18"/>
    </row>
    <row r="10" spans="1:10">
      <c r="A10" s="18" t="s">
        <v>148</v>
      </c>
      <c r="B10" s="10">
        <v>11234.78</v>
      </c>
      <c r="C10" s="18" t="s">
        <v>149</v>
      </c>
      <c r="D10" s="10">
        <v>-305.75372093023202</v>
      </c>
      <c r="E10" s="18"/>
      <c r="F10" s="18"/>
      <c r="G10" s="18"/>
      <c r="H10" s="18"/>
    </row>
    <row r="11" spans="1:10">
      <c r="A11" s="18" t="s">
        <v>150</v>
      </c>
      <c r="B11" s="10">
        <v>3166.0462790697602</v>
      </c>
      <c r="C11" s="18" t="s">
        <v>151</v>
      </c>
      <c r="D11" s="10">
        <v>-1326.26498058583</v>
      </c>
      <c r="E11" s="18" t="s">
        <v>182</v>
      </c>
      <c r="F11" s="18">
        <v>1839.78129848393</v>
      </c>
      <c r="G11" s="18"/>
      <c r="H11" s="18"/>
    </row>
    <row r="12" spans="1:10">
      <c r="A12" s="18" t="s">
        <v>153</v>
      </c>
      <c r="B12" s="18"/>
      <c r="C12" s="18"/>
      <c r="D12" s="18"/>
      <c r="E12" s="18"/>
      <c r="F12" s="18"/>
      <c r="G12" s="18"/>
      <c r="H12" s="18"/>
    </row>
    <row r="13" spans="1:10">
      <c r="A13" s="18"/>
      <c r="B13" s="18"/>
      <c r="C13" s="18"/>
      <c r="D13" s="18"/>
      <c r="E13" s="18"/>
      <c r="F13" s="18"/>
      <c r="G13" s="18"/>
      <c r="H13" s="18"/>
    </row>
    <row r="14" spans="1:10">
      <c r="A14" s="18" t="s">
        <v>154</v>
      </c>
      <c r="B14" s="18"/>
      <c r="C14" s="18" t="s">
        <v>155</v>
      </c>
      <c r="D14" s="18"/>
      <c r="E14" s="18" t="s">
        <v>156</v>
      </c>
      <c r="F14" s="18"/>
      <c r="G14" s="18"/>
      <c r="H14" s="20"/>
      <c r="I14" s="21" t="s">
        <v>184</v>
      </c>
      <c r="J14" s="21"/>
    </row>
    <row r="15" spans="1:10">
      <c r="A15" s="18" t="s">
        <v>3</v>
      </c>
      <c r="B15" s="18" t="s">
        <v>157</v>
      </c>
      <c r="C15" s="18" t="s">
        <v>3</v>
      </c>
      <c r="D15" s="18" t="s">
        <v>157</v>
      </c>
      <c r="E15" s="18" t="s">
        <v>3</v>
      </c>
      <c r="F15" s="18" t="s">
        <v>157</v>
      </c>
      <c r="G15" s="18"/>
      <c r="H15" s="20"/>
      <c r="I15" s="21"/>
      <c r="J15" s="21"/>
    </row>
    <row r="16" spans="1:10">
      <c r="A16" s="19">
        <v>39965</v>
      </c>
      <c r="B16" s="18">
        <v>0</v>
      </c>
      <c r="C16" s="19">
        <v>39965</v>
      </c>
      <c r="D16" s="18">
        <v>0</v>
      </c>
      <c r="E16" s="19">
        <v>40177</v>
      </c>
      <c r="F16" s="18">
        <v>0</v>
      </c>
      <c r="G16" s="18"/>
      <c r="H16" s="22">
        <f>+A16</f>
        <v>39965</v>
      </c>
      <c r="I16" s="23">
        <f>+B16+-F5</f>
        <v>-24355.898701515998</v>
      </c>
      <c r="J16" s="21"/>
    </row>
    <row r="17" spans="1:10">
      <c r="A17" s="19">
        <v>40177</v>
      </c>
      <c r="B17" s="18">
        <v>0</v>
      </c>
      <c r="C17" s="19">
        <v>40177</v>
      </c>
      <c r="D17" s="18">
        <v>302.11</v>
      </c>
      <c r="E17" s="19">
        <v>40186</v>
      </c>
      <c r="F17" s="18">
        <v>911.1</v>
      </c>
      <c r="G17" s="18"/>
      <c r="H17" s="22">
        <f t="shared" ref="H17:H31" si="0">+A17</f>
        <v>40177</v>
      </c>
      <c r="I17" s="23">
        <f>+B17</f>
        <v>0</v>
      </c>
      <c r="J17" s="21"/>
    </row>
    <row r="18" spans="1:10">
      <c r="A18" s="19">
        <v>40186</v>
      </c>
      <c r="B18" s="18">
        <v>-911.1</v>
      </c>
      <c r="C18" s="19">
        <v>40186</v>
      </c>
      <c r="D18" s="18">
        <v>911.1</v>
      </c>
      <c r="E18" s="19">
        <v>40187</v>
      </c>
      <c r="F18" s="18">
        <v>0</v>
      </c>
      <c r="G18" s="18"/>
      <c r="H18" s="22">
        <f t="shared" si="0"/>
        <v>40186</v>
      </c>
      <c r="I18" s="23">
        <f t="shared" ref="I18:I30" si="1">+B18</f>
        <v>-911.1</v>
      </c>
      <c r="J18" s="21"/>
    </row>
    <row r="19" spans="1:10">
      <c r="A19" s="19">
        <v>40187</v>
      </c>
      <c r="B19" s="18">
        <v>16.32</v>
      </c>
      <c r="C19" s="19">
        <v>40187</v>
      </c>
      <c r="D19" s="18">
        <v>-16.32</v>
      </c>
      <c r="E19" s="19">
        <v>40211</v>
      </c>
      <c r="F19" s="18">
        <v>0</v>
      </c>
      <c r="G19" s="18"/>
      <c r="H19" s="22">
        <f t="shared" si="0"/>
        <v>40187</v>
      </c>
      <c r="I19" s="23">
        <f t="shared" si="1"/>
        <v>16.32</v>
      </c>
      <c r="J19" s="21"/>
    </row>
    <row r="20" spans="1:10">
      <c r="A20" s="19">
        <v>40211</v>
      </c>
      <c r="B20" s="18">
        <v>-3797</v>
      </c>
      <c r="C20" s="19">
        <v>40211</v>
      </c>
      <c r="D20" s="18">
        <v>3797</v>
      </c>
      <c r="E20" s="19">
        <v>40219</v>
      </c>
      <c r="F20" s="18">
        <v>0</v>
      </c>
      <c r="G20" s="18"/>
      <c r="H20" s="22">
        <f t="shared" si="0"/>
        <v>40211</v>
      </c>
      <c r="I20" s="23">
        <f t="shared" si="1"/>
        <v>-3797</v>
      </c>
      <c r="J20" s="21"/>
    </row>
    <row r="21" spans="1:10">
      <c r="A21" s="19">
        <v>40219</v>
      </c>
      <c r="B21" s="18">
        <v>151.18</v>
      </c>
      <c r="C21" s="19">
        <v>40219</v>
      </c>
      <c r="D21" s="18">
        <v>-151.18</v>
      </c>
      <c r="E21" s="19">
        <v>40252</v>
      </c>
      <c r="F21" s="18">
        <v>0</v>
      </c>
      <c r="G21" s="18"/>
      <c r="H21" s="22">
        <f t="shared" si="0"/>
        <v>40219</v>
      </c>
      <c r="I21" s="23">
        <f t="shared" si="1"/>
        <v>151.18</v>
      </c>
      <c r="J21" s="21"/>
    </row>
    <row r="22" spans="1:10">
      <c r="A22" s="19">
        <v>40252</v>
      </c>
      <c r="B22" s="18">
        <v>-1434.8</v>
      </c>
      <c r="C22" s="19">
        <v>40252</v>
      </c>
      <c r="D22" s="18">
        <v>1434.8</v>
      </c>
      <c r="E22" s="19">
        <v>40265</v>
      </c>
      <c r="F22" s="18">
        <v>0</v>
      </c>
      <c r="G22" s="18"/>
      <c r="H22" s="22">
        <f t="shared" si="0"/>
        <v>40252</v>
      </c>
      <c r="I22" s="23">
        <f t="shared" si="1"/>
        <v>-1434.8</v>
      </c>
      <c r="J22" s="21"/>
    </row>
    <row r="23" spans="1:10">
      <c r="A23" s="19">
        <v>40265</v>
      </c>
      <c r="B23" s="18">
        <v>7.61</v>
      </c>
      <c r="C23" s="19">
        <v>40265</v>
      </c>
      <c r="D23" s="18">
        <v>0</v>
      </c>
      <c r="E23" s="19">
        <v>40266</v>
      </c>
      <c r="F23" s="18">
        <v>0</v>
      </c>
      <c r="G23" s="18"/>
      <c r="H23" s="22">
        <f t="shared" si="0"/>
        <v>40265</v>
      </c>
      <c r="I23" s="23">
        <f t="shared" si="1"/>
        <v>7.61</v>
      </c>
      <c r="J23" s="21"/>
    </row>
    <row r="24" spans="1:10">
      <c r="A24" s="19">
        <v>40266</v>
      </c>
      <c r="B24" s="18">
        <v>97.21</v>
      </c>
      <c r="C24" s="19">
        <v>40266</v>
      </c>
      <c r="D24" s="18">
        <v>0</v>
      </c>
      <c r="E24" s="19">
        <v>40268</v>
      </c>
      <c r="F24" s="18">
        <v>0</v>
      </c>
      <c r="G24" s="18"/>
      <c r="H24" s="22">
        <f t="shared" si="0"/>
        <v>40266</v>
      </c>
      <c r="I24" s="23">
        <f t="shared" si="1"/>
        <v>97.21</v>
      </c>
      <c r="J24" s="21"/>
    </row>
    <row r="25" spans="1:10">
      <c r="A25" s="19">
        <v>40268</v>
      </c>
      <c r="B25" s="18">
        <v>-12.27</v>
      </c>
      <c r="C25" s="19">
        <v>40268</v>
      </c>
      <c r="D25" s="18">
        <v>12.27</v>
      </c>
      <c r="E25" s="19">
        <v>40276</v>
      </c>
      <c r="F25" s="18">
        <v>0</v>
      </c>
      <c r="G25" s="18"/>
      <c r="H25" s="22">
        <f t="shared" si="0"/>
        <v>40268</v>
      </c>
      <c r="I25" s="23">
        <f t="shared" si="1"/>
        <v>-12.27</v>
      </c>
      <c r="J25" s="21"/>
    </row>
    <row r="26" spans="1:10">
      <c r="A26" s="19">
        <v>40276</v>
      </c>
      <c r="B26" s="18">
        <v>-3.76</v>
      </c>
      <c r="C26" s="19">
        <v>40276</v>
      </c>
      <c r="D26" s="18">
        <v>0</v>
      </c>
      <c r="E26" s="19">
        <v>40283</v>
      </c>
      <c r="F26" s="18">
        <v>0</v>
      </c>
      <c r="G26" s="18"/>
      <c r="H26" s="22">
        <f t="shared" si="0"/>
        <v>40276</v>
      </c>
      <c r="I26" s="23">
        <f t="shared" si="1"/>
        <v>-3.76</v>
      </c>
      <c r="J26" s="21"/>
    </row>
    <row r="27" spans="1:10">
      <c r="A27" s="19">
        <v>40283</v>
      </c>
      <c r="B27" s="18">
        <v>927</v>
      </c>
      <c r="C27" s="19">
        <v>40283</v>
      </c>
      <c r="D27" s="18">
        <v>-927</v>
      </c>
      <c r="E27" s="19">
        <v>40296</v>
      </c>
      <c r="F27" s="18">
        <v>-329.28</v>
      </c>
      <c r="G27" s="18"/>
      <c r="H27" s="22">
        <f t="shared" si="0"/>
        <v>40283</v>
      </c>
      <c r="I27" s="23">
        <f t="shared" si="1"/>
        <v>927</v>
      </c>
      <c r="J27" s="21"/>
    </row>
    <row r="28" spans="1:10">
      <c r="A28" s="19">
        <v>40296</v>
      </c>
      <c r="B28" s="18">
        <v>163.969999999999</v>
      </c>
      <c r="C28" s="19">
        <v>40296</v>
      </c>
      <c r="D28" s="18">
        <v>-163.969999999999</v>
      </c>
      <c r="E28" s="19">
        <v>40301</v>
      </c>
      <c r="F28" s="18">
        <v>0</v>
      </c>
      <c r="G28" s="18"/>
      <c r="H28" s="22">
        <f t="shared" si="0"/>
        <v>40296</v>
      </c>
      <c r="I28" s="23">
        <f t="shared" si="1"/>
        <v>163.969999999999</v>
      </c>
      <c r="J28" s="21"/>
    </row>
    <row r="29" spans="1:10">
      <c r="A29" s="19">
        <v>40301</v>
      </c>
      <c r="B29" s="18">
        <v>18012.400000000001</v>
      </c>
      <c r="C29" s="19">
        <v>40301</v>
      </c>
      <c r="D29" s="18">
        <v>-18012.400000000001</v>
      </c>
      <c r="E29" s="19">
        <v>40312</v>
      </c>
      <c r="F29" s="18">
        <v>0</v>
      </c>
      <c r="G29" s="18"/>
      <c r="H29" s="22">
        <f t="shared" si="0"/>
        <v>40301</v>
      </c>
      <c r="I29" s="23">
        <f t="shared" si="1"/>
        <v>18012.400000000001</v>
      </c>
      <c r="J29" s="21"/>
    </row>
    <row r="30" spans="1:10">
      <c r="A30" s="19">
        <v>40312</v>
      </c>
      <c r="B30" s="18">
        <v>2457.06</v>
      </c>
      <c r="C30" s="19">
        <v>40312</v>
      </c>
      <c r="D30" s="18">
        <v>-2457.06</v>
      </c>
      <c r="E30" s="18"/>
      <c r="F30" s="18"/>
      <c r="G30" s="18"/>
      <c r="H30" s="22">
        <f t="shared" si="0"/>
        <v>40312</v>
      </c>
      <c r="I30" s="23">
        <f t="shared" si="1"/>
        <v>2457.06</v>
      </c>
      <c r="J30" s="21"/>
    </row>
    <row r="31" spans="1:10">
      <c r="A31" s="19">
        <v>40330</v>
      </c>
      <c r="B31" s="18">
        <v>0</v>
      </c>
      <c r="C31" s="19">
        <v>40330</v>
      </c>
      <c r="D31" s="18">
        <v>0</v>
      </c>
      <c r="E31" s="18"/>
      <c r="F31" s="18"/>
      <c r="G31" s="18"/>
      <c r="H31" s="22">
        <f t="shared" si="0"/>
        <v>40330</v>
      </c>
      <c r="I31" s="23">
        <f>+F6</f>
        <v>10925.03</v>
      </c>
      <c r="J31" s="21"/>
    </row>
    <row r="33" spans="1:4">
      <c r="A33" t="s">
        <v>158</v>
      </c>
      <c r="B33">
        <v>9.0994497864760895E-2</v>
      </c>
      <c r="C33" t="s">
        <v>159</v>
      </c>
      <c r="D33">
        <v>9.1482970733227198E-2</v>
      </c>
    </row>
    <row r="34" spans="1:4" ht="15.75" thickBot="1"/>
    <row r="35" spans="1:4" ht="16.5" thickTop="1" thickBot="1">
      <c r="A35" t="s">
        <v>181</v>
      </c>
      <c r="B35" s="17">
        <f>+MDIETZ_ALT(F5,F6,B9,D9,D16:D31,C16:C31)</f>
        <v>9.0994497864763671E-2</v>
      </c>
      <c r="D35" s="17">
        <f>+XIRR(I16:I31,H16:H31)</f>
        <v>9.1482970118522661E-2</v>
      </c>
    </row>
    <row r="36" spans="1:4" ht="15.75" thickTop="1">
      <c r="A36" t="s">
        <v>183</v>
      </c>
      <c r="B36">
        <f>+B33-B35</f>
        <v>-2.7755575615628914E-15</v>
      </c>
      <c r="D36">
        <f>+D33-D35</f>
        <v>6.1470453727174856E-10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transActivityReport</vt:lpstr>
      <vt:lpstr>MTM_Detail</vt:lpstr>
      <vt:lpstr>RepFromTo_Check</vt:lpstr>
      <vt:lpstr>AccountCheck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Dale Furrow</dc:creator>
  <cp:lastModifiedBy>Dale Furrow</cp:lastModifiedBy>
  <dcterms:created xsi:type="dcterms:W3CDTF">2011-09-01T20:36:51Z</dcterms:created>
  <dcterms:modified xsi:type="dcterms:W3CDTF">2011-09-14T15:47:11Z</dcterms:modified>
</cp:coreProperties>
</file>